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#NR_TRAINING BY CHINA\Python EMS\Import_Grid_P_2024\kohtao\"/>
    </mc:Choice>
  </mc:AlternateContent>
  <xr:revisionPtr revIDLastSave="0" documentId="13_ncr:1_{559A213A-7F78-440C-95C3-0C66D0FB74F8}" xr6:coauthVersionLast="47" xr6:coauthVersionMax="47" xr10:uidLastSave="{00000000-0000-0000-0000-000000000000}"/>
  <bookViews>
    <workbookView xWindow="0" yWindow="1170" windowWidth="29100" windowHeight="10920" xr2:uid="{00000000-000D-0000-FFFF-FFFF00000000}"/>
  </bookViews>
  <sheets>
    <sheet name="Inputs" sheetId="1" r:id="rId1"/>
    <sheet name="Summary_Improvement ปึ 67 vs 68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T17" i="1"/>
  <c r="E4" i="2"/>
  <c r="B63" i="3"/>
  <c r="W5" i="1"/>
  <c r="L5" i="1"/>
  <c r="J5" i="1"/>
  <c r="I5" i="1"/>
  <c r="C9" i="2"/>
  <c r="D9" i="2" s="1"/>
  <c r="E9" i="2" s="1"/>
  <c r="B9" i="2"/>
  <c r="C7" i="2"/>
  <c r="B6" i="2"/>
  <c r="C5" i="2"/>
  <c r="D5" i="2" s="1"/>
  <c r="E5" i="2" s="1"/>
  <c r="B5" i="2"/>
  <c r="B4" i="2"/>
  <c r="R17" i="1"/>
  <c r="E64" i="3" s="1"/>
  <c r="Q17" i="1"/>
  <c r="D64" i="3" s="1"/>
  <c r="P17" i="1"/>
  <c r="C64" i="3" s="1"/>
  <c r="O17" i="1"/>
  <c r="C4" i="2" s="1"/>
  <c r="D4" i="2" s="1"/>
  <c r="N17" i="1"/>
  <c r="C6" i="2" s="1"/>
  <c r="D6" i="2" s="1"/>
  <c r="E6" i="2" s="1"/>
  <c r="M17" i="1"/>
  <c r="U17" i="1" s="1"/>
  <c r="H17" i="1"/>
  <c r="E63" i="3" s="1"/>
  <c r="G17" i="1"/>
  <c r="B8" i="2" s="1"/>
  <c r="F17" i="1"/>
  <c r="C63" i="3" s="1"/>
  <c r="E17" i="1"/>
  <c r="D17" i="1"/>
  <c r="C17" i="1"/>
  <c r="K17" i="1" s="1"/>
  <c r="B12" i="2" s="1"/>
  <c r="U16" i="1"/>
  <c r="Y16" i="1" s="1"/>
  <c r="S16" i="1"/>
  <c r="T16" i="1" s="1"/>
  <c r="K16" i="1"/>
  <c r="I16" i="1"/>
  <c r="L16" i="1" s="1"/>
  <c r="U15" i="1"/>
  <c r="S15" i="1"/>
  <c r="W15" i="1" s="1"/>
  <c r="L15" i="1"/>
  <c r="K15" i="1"/>
  <c r="Y15" i="1" s="1"/>
  <c r="J15" i="1"/>
  <c r="I15" i="1"/>
  <c r="U14" i="1"/>
  <c r="Y14" i="1" s="1"/>
  <c r="S14" i="1"/>
  <c r="W14" i="1" s="1"/>
  <c r="K14" i="1"/>
  <c r="I14" i="1"/>
  <c r="L14" i="1" s="1"/>
  <c r="Y13" i="1"/>
  <c r="V13" i="1"/>
  <c r="U13" i="1"/>
  <c r="S13" i="1"/>
  <c r="T13" i="1" s="1"/>
  <c r="K13" i="1"/>
  <c r="I13" i="1"/>
  <c r="L13" i="1" s="1"/>
  <c r="U12" i="1"/>
  <c r="S12" i="1"/>
  <c r="W12" i="1" s="1"/>
  <c r="L12" i="1"/>
  <c r="K12" i="1"/>
  <c r="Y12" i="1" s="1"/>
  <c r="I12" i="1"/>
  <c r="J12" i="1" s="1"/>
  <c r="V11" i="1"/>
  <c r="U11" i="1"/>
  <c r="Y11" i="1" s="1"/>
  <c r="T11" i="1"/>
  <c r="S11" i="1"/>
  <c r="K11" i="1"/>
  <c r="I11" i="1"/>
  <c r="L11" i="1" s="1"/>
  <c r="U10" i="1"/>
  <c r="S10" i="1"/>
  <c r="V10" i="1" s="1"/>
  <c r="K10" i="1"/>
  <c r="Y10" i="1" s="1"/>
  <c r="I10" i="1"/>
  <c r="L10" i="1" s="1"/>
  <c r="U9" i="1"/>
  <c r="S9" i="1"/>
  <c r="V9" i="1" s="1"/>
  <c r="L9" i="1"/>
  <c r="J9" i="1"/>
  <c r="V8" i="1"/>
  <c r="U8" i="1"/>
  <c r="Y8" i="1" s="1"/>
  <c r="S8" i="1"/>
  <c r="T8" i="1" s="1"/>
  <c r="K8" i="1"/>
  <c r="I8" i="1"/>
  <c r="W8" i="1" s="1"/>
  <c r="U7" i="1"/>
  <c r="S7" i="1"/>
  <c r="W7" i="1" s="1"/>
  <c r="L7" i="1"/>
  <c r="K7" i="1"/>
  <c r="Y7" i="1" s="1"/>
  <c r="J7" i="1"/>
  <c r="I7" i="1"/>
  <c r="U6" i="1"/>
  <c r="Y6" i="1" s="1"/>
  <c r="S6" i="1"/>
  <c r="V6" i="1" s="1"/>
  <c r="K6" i="1"/>
  <c r="I6" i="1"/>
  <c r="L6" i="1" s="1"/>
  <c r="V5" i="1"/>
  <c r="U5" i="1"/>
  <c r="S5" i="1"/>
  <c r="T5" i="1" s="1"/>
  <c r="K5" i="1"/>
  <c r="Y5" i="1" s="1"/>
  <c r="Y9" i="1" l="1"/>
  <c r="V16" i="1"/>
  <c r="W16" i="1"/>
  <c r="C12" i="2"/>
  <c r="D12" i="2" s="1"/>
  <c r="E12" i="2" s="1"/>
  <c r="Y17" i="1"/>
  <c r="L17" i="1"/>
  <c r="X11" i="1"/>
  <c r="T6" i="1"/>
  <c r="J10" i="1"/>
  <c r="T14" i="1"/>
  <c r="W10" i="1"/>
  <c r="J8" i="1"/>
  <c r="X8" i="1" s="1"/>
  <c r="W11" i="1"/>
  <c r="J16" i="1"/>
  <c r="X16" i="1" s="1"/>
  <c r="I17" i="1"/>
  <c r="B7" i="2"/>
  <c r="D7" i="2" s="1"/>
  <c r="E7" i="2" s="1"/>
  <c r="T12" i="1"/>
  <c r="X12" i="1" s="1"/>
  <c r="W6" i="1"/>
  <c r="B64" i="3"/>
  <c r="J6" i="1"/>
  <c r="L8" i="1"/>
  <c r="W9" i="1"/>
  <c r="T10" i="1"/>
  <c r="V12" i="1"/>
  <c r="J14" i="1"/>
  <c r="S17" i="1"/>
  <c r="C8" i="2"/>
  <c r="D8" i="2" s="1"/>
  <c r="E8" i="2" s="1"/>
  <c r="J13" i="1"/>
  <c r="X13" i="1" s="1"/>
  <c r="D63" i="3"/>
  <c r="V14" i="1"/>
  <c r="T7" i="1"/>
  <c r="X7" i="1" s="1"/>
  <c r="J11" i="1"/>
  <c r="V7" i="1"/>
  <c r="V15" i="1"/>
  <c r="W13" i="1"/>
  <c r="X5" i="1"/>
  <c r="T9" i="1"/>
  <c r="X9" i="1" s="1"/>
  <c r="T15" i="1"/>
  <c r="X15" i="1" s="1"/>
  <c r="V17" i="1" l="1"/>
  <c r="X14" i="1"/>
  <c r="X6" i="1"/>
  <c r="W17" i="1"/>
  <c r="X10" i="1"/>
  <c r="J17" i="1"/>
  <c r="B11" i="2" s="1"/>
  <c r="B10" i="2"/>
  <c r="C10" i="2"/>
  <c r="D10" i="2" s="1"/>
  <c r="E10" i="2" s="1"/>
  <c r="X17" i="1" l="1"/>
  <c r="C11" i="2"/>
  <c r="D11" i="2" s="1"/>
  <c r="E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I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Total Cost = Fuel Cost + Rental + Maint + Other</t>
        </r>
      </text>
    </comment>
    <comment ref="J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All-in (THB/kWh) = Total Cost / Energy (kWh)</t>
        </r>
      </text>
    </comment>
    <comment ref="K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Fuel Intensity (L/kWh) = Fuel (L) / Energy (kWh)</t>
        </r>
      </text>
    </comment>
  </commentList>
</comments>
</file>

<file path=xl/sharedStrings.xml><?xml version="1.0" encoding="utf-8"?>
<sst xmlns="http://schemas.openxmlformats.org/spreadsheetml/2006/main" count="77" uniqueCount="75">
  <si>
    <t>Koh Tao – Standard Value KPI (2567 vs 2568) | All-in Cost, Fuel Intensity, Cost Breakdown</t>
  </si>
  <si>
    <t>Month (TH)</t>
  </si>
  <si>
    <t>Month</t>
  </si>
  <si>
    <t>Fuel (L) 2567</t>
  </si>
  <si>
    <t>Fuel Cost (THB) 2567</t>
  </si>
  <si>
    <t>Energy (kWh) 2567</t>
  </si>
  <si>
    <t>Rental (THB) 2567</t>
  </si>
  <si>
    <t>Maint. (THB) 2567</t>
  </si>
  <si>
    <t>Other (THB) 2567</t>
  </si>
  <si>
    <t>Total Cost (THB) 2567</t>
  </si>
  <si>
    <t>All-in (THB/kWh) 2567</t>
  </si>
  <si>
    <t>Fuel Intensity (L/kWh) 2567</t>
  </si>
  <si>
    <t>Total Cost (M THB) 2567</t>
  </si>
  <si>
    <t>Fuel (L) 2568</t>
  </si>
  <si>
    <t>Fuel Cost (THB) 2568</t>
  </si>
  <si>
    <t>Energy (kWh) 2568</t>
  </si>
  <si>
    <t>Rental (THB) 2568</t>
  </si>
  <si>
    <t>Maint. (THB) 2568</t>
  </si>
  <si>
    <t>Other (THB) 2568</t>
  </si>
  <si>
    <t>Total Cost (THB) 2568</t>
  </si>
  <si>
    <t>All-in (THB/kWh) 2568</t>
  </si>
  <si>
    <t>Fuel Intensity (L/kWh) 2568</t>
  </si>
  <si>
    <t>Total Cost (M THB) 2568</t>
  </si>
  <si>
    <t>Δ Total Cost (THB)</t>
  </si>
  <si>
    <t>Δ All-in (THB/kWh)</t>
  </si>
  <si>
    <t>Δ Fuel Intensity (L/kWh)</t>
  </si>
  <si>
    <t>มกราคม</t>
  </si>
  <si>
    <t>Jan</t>
  </si>
  <si>
    <t>กุมภาพันธ์</t>
  </si>
  <si>
    <t>Feb</t>
  </si>
  <si>
    <t>มีนาคม</t>
  </si>
  <si>
    <t>Mar</t>
  </si>
  <si>
    <t>เมษายน</t>
  </si>
  <si>
    <t>Apr</t>
  </si>
  <si>
    <t>พฤษภาคม</t>
  </si>
  <si>
    <t>May</t>
  </si>
  <si>
    <t>มิถุนายน</t>
  </si>
  <si>
    <t>Jun</t>
  </si>
  <si>
    <t>กรกฎาคม</t>
  </si>
  <si>
    <t>Jul</t>
  </si>
  <si>
    <t>สิงหาคม</t>
  </si>
  <si>
    <t>Aug</t>
  </si>
  <si>
    <t>กันยายน</t>
  </si>
  <si>
    <t>Sep</t>
  </si>
  <si>
    <t>ตุลาคม</t>
  </si>
  <si>
    <t>Oct</t>
  </si>
  <si>
    <t>พฤศจิกายน</t>
  </si>
  <si>
    <t>Nov</t>
  </si>
  <si>
    <t>ธันวาคม</t>
  </si>
  <si>
    <t>Dec</t>
  </si>
  <si>
    <t>รวม</t>
  </si>
  <si>
    <t>Total</t>
  </si>
  <si>
    <t>Annual KPI Summary</t>
  </si>
  <si>
    <t>Metric</t>
  </si>
  <si>
    <t>2567</t>
  </si>
  <si>
    <t>2568</t>
  </si>
  <si>
    <t>Δ (2568-2567)</t>
  </si>
  <si>
    <t>%Δ vs 2567</t>
  </si>
  <si>
    <t>Energy (GWh)</t>
  </si>
  <si>
    <t>Fuel (Million L)</t>
  </si>
  <si>
    <t>Fuel cost (Million THB)</t>
  </si>
  <si>
    <t>Rental (Million THB)</t>
  </si>
  <si>
    <t>Maintenance (Million THB)</t>
  </si>
  <si>
    <t>Other (Million THB)</t>
  </si>
  <si>
    <t>Total cost (Million THB)</t>
  </si>
  <si>
    <t>All-in cost (THB/kWh)</t>
  </si>
  <si>
    <t>Fuel intensity (L/kWh)</t>
  </si>
  <si>
    <t>Standard Value Charts (2567 vs 2568)</t>
  </si>
  <si>
    <t>4) Cost Breakdown (Annual, Million THB)</t>
  </si>
  <si>
    <t>Year</t>
  </si>
  <si>
    <t>Fuel</t>
  </si>
  <si>
    <t>Rental</t>
  </si>
  <si>
    <t>Maintenance</t>
  </si>
  <si>
    <t>Other</t>
  </si>
  <si>
    <r>
      <rPr>
        <b/>
        <sz val="11"/>
        <color theme="1"/>
        <rFont val="Calibri"/>
        <family val="2"/>
        <scheme val="minor"/>
      </rPr>
      <t>Definitions:</t>
    </r>
    <r>
      <rPr>
        <sz val="11"/>
        <color theme="1"/>
        <rFont val="Calibri"/>
        <family val="2"/>
        <scheme val="minor"/>
      </rPr>
      <t xml:space="preserve">
Total Cost = Fuel Cost + Rental + Maintenance + Other
All-in Cost (THB/kWh) = Total Cost / Energy (kWh)
Fuel Intensity (L/kWh) = Fuel (L) / Energy (kWh)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</si>
</sst>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0"/>
    <numFmt numFmtId="188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8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87" fontId="0" fillId="0" borderId="1" xfId="0" applyNumberFormat="1" applyBorder="1" applyAlignment="1">
      <alignment horizontal="right" vertical="center"/>
    </xf>
    <xf numFmtId="0" fontId="2" fillId="4" borderId="1" xfId="0" applyFont="1" applyFill="1" applyBorder="1"/>
    <xf numFmtId="3" fontId="2" fillId="4" borderId="1" xfId="0" applyNumberFormat="1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187" fontId="2" fillId="4" borderId="1" xfId="0" applyNumberFormat="1" applyFont="1" applyFill="1" applyBorder="1" applyAlignment="1">
      <alignment horizontal="right" vertical="center"/>
    </xf>
    <xf numFmtId="188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1) Total Cost by Month (Million THB)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Inputs!$L$4</c:f>
              <c:strCache>
                <c:ptCount val="1"/>
                <c:pt idx="0">
                  <c:v>Total Cost (M THB)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Inputs!$L$5:$L$16</c:f>
              <c:numCache>
                <c:formatCode>0.00</c:formatCode>
                <c:ptCount val="12"/>
                <c:pt idx="0">
                  <c:v>39.821370999999999</c:v>
                </c:pt>
                <c:pt idx="1">
                  <c:v>41.222875000000002</c:v>
                </c:pt>
                <c:pt idx="2">
                  <c:v>49.654955999999999</c:v>
                </c:pt>
                <c:pt idx="3">
                  <c:v>52.233469999999997</c:v>
                </c:pt>
                <c:pt idx="4">
                  <c:v>49.22625</c:v>
                </c:pt>
                <c:pt idx="5">
                  <c:v>42.003672000000002</c:v>
                </c:pt>
                <c:pt idx="6">
                  <c:v>45.760931999999997</c:v>
                </c:pt>
                <c:pt idx="7">
                  <c:v>49.848843000000002</c:v>
                </c:pt>
                <c:pt idx="8">
                  <c:v>40.710051</c:v>
                </c:pt>
                <c:pt idx="9">
                  <c:v>38.979505000000003</c:v>
                </c:pt>
                <c:pt idx="10">
                  <c:v>36.553362999999997</c:v>
                </c:pt>
                <c:pt idx="11">
                  <c:v>38.794699999999999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7-4661-A2E3-6CDB7DBCBBB0}"/>
            </c:ext>
          </c:extLst>
        </c:ser>
        <c:ser>
          <c:idx val="1"/>
          <c:order val="1"/>
          <c:tx>
            <c:strRef>
              <c:f>Inputs!$V$4</c:f>
              <c:strCache>
                <c:ptCount val="1"/>
                <c:pt idx="0">
                  <c:v>Total Cost (M THB)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Inputs!$V$5:$V$16</c:f>
              <c:numCache>
                <c:formatCode>0.00</c:formatCode>
                <c:ptCount val="12"/>
                <c:pt idx="0">
                  <c:v>43.104916000000003</c:v>
                </c:pt>
                <c:pt idx="1">
                  <c:v>40.481487739999999</c:v>
                </c:pt>
                <c:pt idx="2">
                  <c:v>48.889945600000004</c:v>
                </c:pt>
                <c:pt idx="3">
                  <c:v>50.427047000000002</c:v>
                </c:pt>
                <c:pt idx="4">
                  <c:v>45.808132000000001</c:v>
                </c:pt>
                <c:pt idx="5">
                  <c:v>42.003368000000002</c:v>
                </c:pt>
                <c:pt idx="6">
                  <c:v>42.631632000000003</c:v>
                </c:pt>
                <c:pt idx="7">
                  <c:v>39.278987350000001</c:v>
                </c:pt>
                <c:pt idx="8">
                  <c:v>26.508775</c:v>
                </c:pt>
                <c:pt idx="9">
                  <c:v>22.677889</c:v>
                </c:pt>
                <c:pt idx="10">
                  <c:v>12.563547239999998</c:v>
                </c:pt>
                <c:pt idx="11">
                  <c:v>13.534694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7-4661-A2E3-6CDB7DBCB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Cosr </a:t>
                </a:r>
                <a:r>
                  <a:rPr lang="th-TH" baseline="0"/>
                  <a:t>(</a:t>
                </a:r>
                <a:r>
                  <a:rPr lang="en-US" baseline="0"/>
                  <a:t>THB</a:t>
                </a:r>
                <a:r>
                  <a:rPr lang="th-TH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2) All-in Cost (THB/kWh)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Inputs!$J$4</c:f>
              <c:strCache>
                <c:ptCount val="1"/>
                <c:pt idx="0">
                  <c:v>All-in (THB/kWh)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Inputs!$J$5:$J$16</c:f>
              <c:numCache>
                <c:formatCode>0.00</c:formatCode>
                <c:ptCount val="12"/>
                <c:pt idx="0">
                  <c:v>10.803017741623066</c:v>
                </c:pt>
                <c:pt idx="1">
                  <c:v>10.780425065371055</c:v>
                </c:pt>
                <c:pt idx="2">
                  <c:v>10.684232474171885</c:v>
                </c:pt>
                <c:pt idx="3">
                  <c:v>10.675380943023352</c:v>
                </c:pt>
                <c:pt idx="4">
                  <c:v>10.711652547177609</c:v>
                </c:pt>
                <c:pt idx="5">
                  <c:v>10.784047782505798</c:v>
                </c:pt>
                <c:pt idx="6">
                  <c:v>10.740941581616971</c:v>
                </c:pt>
                <c:pt idx="7">
                  <c:v>9.9471112688939378</c:v>
                </c:pt>
                <c:pt idx="8">
                  <c:v>10.873338743019579</c:v>
                </c:pt>
                <c:pt idx="9">
                  <c:v>10.511575027966726</c:v>
                </c:pt>
                <c:pt idx="10">
                  <c:v>11.126683212597351</c:v>
                </c:pt>
                <c:pt idx="11">
                  <c:v>10.773466148699477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7-4828-B653-023177D3DF13}"/>
            </c:ext>
          </c:extLst>
        </c:ser>
        <c:ser>
          <c:idx val="1"/>
          <c:order val="1"/>
          <c:tx>
            <c:strRef>
              <c:f>Inputs!$T$4</c:f>
              <c:strCache>
                <c:ptCount val="1"/>
                <c:pt idx="0">
                  <c:v>All-in (THB/kWh)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Inputs!$T$5:$T$16</c:f>
              <c:numCache>
                <c:formatCode>0.00</c:formatCode>
                <c:ptCount val="12"/>
                <c:pt idx="0">
                  <c:v>10.797316158457468</c:v>
                </c:pt>
                <c:pt idx="1">
                  <c:v>10.893026563827144</c:v>
                </c:pt>
                <c:pt idx="2">
                  <c:v>10.467601085697623</c:v>
                </c:pt>
                <c:pt idx="3">
                  <c:v>10.889119405182164</c:v>
                </c:pt>
                <c:pt idx="4">
                  <c:v>10.648381047665827</c:v>
                </c:pt>
                <c:pt idx="5">
                  <c:v>10.661086931984444</c:v>
                </c:pt>
                <c:pt idx="6">
                  <c:v>10.976338438306804</c:v>
                </c:pt>
                <c:pt idx="7">
                  <c:v>10.422600194802571</c:v>
                </c:pt>
                <c:pt idx="8">
                  <c:v>10.87728294499037</c:v>
                </c:pt>
                <c:pt idx="9">
                  <c:v>11.283976302041053</c:v>
                </c:pt>
                <c:pt idx="10">
                  <c:v>13.788130388789025</c:v>
                </c:pt>
                <c:pt idx="11">
                  <c:v>12.133459054409688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7-4828-B653-023177D3D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All in Cosr </a:t>
                </a:r>
                <a:r>
                  <a:rPr lang="th-TH"/>
                  <a:t>(</a:t>
                </a:r>
                <a:r>
                  <a:rPr lang="en-US"/>
                  <a:t>THB/kWh</a:t>
                </a:r>
                <a:r>
                  <a:rPr lang="th-TH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3) Fuel Intensity (L/kWh)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Inputs!$K$4</c:f>
              <c:strCache>
                <c:ptCount val="1"/>
                <c:pt idx="0">
                  <c:v>Fuel Intensity (L/kWh)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Inputs!$K$5:$K$16</c:f>
              <c:numCache>
                <c:formatCode>0.0000</c:formatCode>
                <c:ptCount val="12"/>
                <c:pt idx="0">
                  <c:v>0.29098155411604676</c:v>
                </c:pt>
                <c:pt idx="1">
                  <c:v>0.29035423753085754</c:v>
                </c:pt>
                <c:pt idx="2">
                  <c:v>0.29091326363268549</c:v>
                </c:pt>
                <c:pt idx="3">
                  <c:v>0.29102000136728995</c:v>
                </c:pt>
                <c:pt idx="4">
                  <c:v>0.29116219690965539</c:v>
                </c:pt>
                <c:pt idx="5">
                  <c:v>0.29014485817906221</c:v>
                </c:pt>
                <c:pt idx="6">
                  <c:v>0.29046543265244051</c:v>
                </c:pt>
                <c:pt idx="7">
                  <c:v>0.27054376083245102</c:v>
                </c:pt>
                <c:pt idx="8">
                  <c:v>0.29282016794279336</c:v>
                </c:pt>
                <c:pt idx="9">
                  <c:v>0.28328164537308598</c:v>
                </c:pt>
                <c:pt idx="10">
                  <c:v>0.29794333584408977</c:v>
                </c:pt>
                <c:pt idx="11">
                  <c:v>0.29074948246973131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3-4D74-A609-D9F29F8EE083}"/>
            </c:ext>
          </c:extLst>
        </c:ser>
        <c:ser>
          <c:idx val="1"/>
          <c:order val="1"/>
          <c:tx>
            <c:strRef>
              <c:f>Inputs!$U$4</c:f>
              <c:strCache>
                <c:ptCount val="1"/>
                <c:pt idx="0">
                  <c:v>Fuel Intensity (L/kWh)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Inputs!$U$5:$U$16</c:f>
              <c:numCache>
                <c:formatCode>0.0000</c:formatCode>
                <c:ptCount val="12"/>
                <c:pt idx="0">
                  <c:v>0.29295388894510982</c:v>
                </c:pt>
                <c:pt idx="1">
                  <c:v>0.29125693183941825</c:v>
                </c:pt>
                <c:pt idx="2">
                  <c:v>0.28580308195037696</c:v>
                </c:pt>
                <c:pt idx="3">
                  <c:v>0.29695868713797036</c:v>
                </c:pt>
                <c:pt idx="4">
                  <c:v>0.28962429743040669</c:v>
                </c:pt>
                <c:pt idx="5">
                  <c:v>0.28804962348187191</c:v>
                </c:pt>
                <c:pt idx="6">
                  <c:v>0.2967256979511233</c:v>
                </c:pt>
                <c:pt idx="7">
                  <c:v>0.28032603360138697</c:v>
                </c:pt>
                <c:pt idx="8">
                  <c:v>0.28293772757027075</c:v>
                </c:pt>
                <c:pt idx="9">
                  <c:v>0.28891758134013873</c:v>
                </c:pt>
                <c:pt idx="10">
                  <c:v>0.28783750666850894</c:v>
                </c:pt>
                <c:pt idx="11">
                  <c:v>0.28825035060976156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3-4D74-A609-D9F29F8EE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Intensity (L/kWh)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Cost Breakdown (Annual, Million THB)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774569109425842E-2"/>
          <c:y val="8.7997155975099661E-2"/>
          <c:w val="0.92522543089057419"/>
          <c:h val="0.87347901397051597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Charts!$B$62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Charts!$B$63:$B$64</c:f>
              <c:numCache>
                <c:formatCode>0.00</c:formatCode>
                <c:ptCount val="2"/>
                <c:pt idx="0">
                  <c:v>496.75058999999999</c:v>
                </c:pt>
                <c:pt idx="1">
                  <c:v>399.20031305000003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899-4CA4-AB4C-EBBA5C17A471}"/>
            </c:ext>
          </c:extLst>
        </c:ser>
        <c:ser>
          <c:idx val="1"/>
          <c:order val="1"/>
          <c:tx>
            <c:strRef>
              <c:f>Charts!$C$62</c:f>
              <c:strCache>
                <c:ptCount val="1"/>
                <c:pt idx="0">
                  <c:v>Rental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Charts!$C$63:$C$64</c:f>
              <c:numCache>
                <c:formatCode>0.00</c:formatCode>
                <c:ptCount val="2"/>
                <c:pt idx="0">
                  <c:v>22.193999999999999</c:v>
                </c:pt>
                <c:pt idx="1">
                  <c:v>22.175999999999998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899-4CA4-AB4C-EBBA5C17A471}"/>
            </c:ext>
          </c:extLst>
        </c:ser>
        <c:ser>
          <c:idx val="2"/>
          <c:order val="2"/>
          <c:tx>
            <c:strRef>
              <c:f>Charts!$D$62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Charts!$D$63:$D$64</c:f>
              <c:numCache>
                <c:formatCode>0.00</c:formatCode>
                <c:ptCount val="2"/>
                <c:pt idx="0">
                  <c:v>0.32529400000000003</c:v>
                </c:pt>
                <c:pt idx="1">
                  <c:v>1.66515788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899-4CA4-AB4C-EBBA5C17A471}"/>
            </c:ext>
          </c:extLst>
        </c:ser>
        <c:ser>
          <c:idx val="3"/>
          <c:order val="3"/>
          <c:tx>
            <c:strRef>
              <c:f>Charts!$E$62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65708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Charts!$E$63:$E$64</c:f>
              <c:numCache>
                <c:formatCode>0.00</c:formatCode>
                <c:ptCount val="2"/>
                <c:pt idx="0">
                  <c:v>5.5401040000000004</c:v>
                </c:pt>
                <c:pt idx="1">
                  <c:v>4.8689499999999999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3899-4CA4-AB4C-EBBA5C17A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/>
                  <a:t>Annual Cost Breakdown </a:t>
                </a:r>
                <a:r>
                  <a:rPr lang="th-TH" sz="900" b="1" i="0" u="none" strike="noStrike" baseline="0"/>
                  <a:t>(</a:t>
                </a:r>
                <a:r>
                  <a:rPr lang="en-US" sz="900" b="1" i="0" u="none" strike="noStrike" baseline="0"/>
                  <a:t>THB</a:t>
                </a:r>
                <a:r>
                  <a:rPr lang="th-TH" sz="900" b="1" i="0" u="none" strike="noStrike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566167941926813"/>
          <c:y val="8.8172918796518548E-2"/>
          <c:w val="0.43599230593517996"/>
          <c:h val="3.7815343766343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DA8CED5-58DA-7AB0-C57F-CEE61A9ECA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6B31E50B-850D-1D51-066B-FF9BB52C7E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B022FA43-FAFF-E5A2-62ED-2B6E170D51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9DE71CA9-2CDF-52C7-A5F6-0E87A73804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69BA687-F194-F5BB-80AD-367D46D875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0</xdr:rowOff>
    </xdr:from>
    <xdr:to>
      <xdr:col>9</xdr:col>
      <xdr:colOff>176894</xdr:colOff>
      <xdr:row>22</xdr:row>
      <xdr:rowOff>95250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24</xdr:row>
      <xdr:rowOff>111577</xdr:rowOff>
    </xdr:from>
    <xdr:to>
      <xdr:col>9</xdr:col>
      <xdr:colOff>13607</xdr:colOff>
      <xdr:row>46</xdr:row>
      <xdr:rowOff>35378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340179</xdr:colOff>
      <xdr:row>2</xdr:row>
      <xdr:rowOff>132670</xdr:rowOff>
    </xdr:from>
    <xdr:to>
      <xdr:col>23</xdr:col>
      <xdr:colOff>411617</xdr:colOff>
      <xdr:row>21</xdr:row>
      <xdr:rowOff>37420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158483</xdr:colOff>
      <xdr:row>24</xdr:row>
      <xdr:rowOff>125184</xdr:rowOff>
    </xdr:from>
    <xdr:to>
      <xdr:col>26</xdr:col>
      <xdr:colOff>102454</xdr:colOff>
      <xdr:row>73</xdr:row>
      <xdr:rowOff>112059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7"/>
  <sheetViews>
    <sheetView showGridLines="0" tabSelected="1" topLeftCell="A2" workbookViewId="0">
      <selection activeCell="G20" sqref="G20"/>
    </sheetView>
  </sheetViews>
  <sheetFormatPr defaultRowHeight="15" x14ac:dyDescent="0.25"/>
  <cols>
    <col min="1" max="1" width="12" customWidth="1"/>
    <col min="2" max="2" width="8" customWidth="1"/>
    <col min="3" max="3" width="14" customWidth="1"/>
    <col min="4" max="4" width="18" customWidth="1"/>
    <col min="5" max="5" width="16" customWidth="1"/>
    <col min="6" max="8" width="14" customWidth="1"/>
    <col min="9" max="9" width="17.85546875" customWidth="1"/>
    <col min="10" max="10" width="16" customWidth="1"/>
    <col min="11" max="12" width="18" customWidth="1"/>
    <col min="13" max="13" width="14" customWidth="1"/>
    <col min="14" max="14" width="18" customWidth="1"/>
    <col min="15" max="15" width="16" customWidth="1"/>
    <col min="16" max="18" width="14" customWidth="1"/>
    <col min="19" max="19" width="18" customWidth="1"/>
    <col min="20" max="20" width="16" customWidth="1"/>
    <col min="21" max="22" width="18" customWidth="1"/>
    <col min="23" max="24" width="16" customWidth="1"/>
    <col min="25" max="25" width="20" customWidth="1"/>
  </cols>
  <sheetData>
    <row r="1" spans="1:27" ht="26.1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69" customHeight="1" x14ac:dyDescent="0.25">
      <c r="A2" s="18" t="s">
        <v>74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38.25" customHeight="1" x14ac:dyDescent="0.25"/>
    <row r="4" spans="1:27" ht="30" x14ac:dyDescent="0.25">
      <c r="A4" s="1" t="s">
        <v>1</v>
      </c>
      <c r="B4" s="1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  <c r="U4" s="14" t="s">
        <v>21</v>
      </c>
      <c r="V4" s="14" t="s">
        <v>22</v>
      </c>
      <c r="W4" s="1" t="s">
        <v>23</v>
      </c>
      <c r="X4" s="1" t="s">
        <v>24</v>
      </c>
      <c r="Y4" s="1" t="s">
        <v>25</v>
      </c>
    </row>
    <row r="5" spans="1:27" x14ac:dyDescent="0.25">
      <c r="A5" s="2" t="s">
        <v>26</v>
      </c>
      <c r="B5" s="3" t="s">
        <v>27</v>
      </c>
      <c r="C5" s="4">
        <v>1072597</v>
      </c>
      <c r="D5" s="4">
        <v>37540895</v>
      </c>
      <c r="E5" s="4">
        <v>3686134</v>
      </c>
      <c r="F5" s="4">
        <v>1850000</v>
      </c>
      <c r="G5" s="4">
        <v>21220</v>
      </c>
      <c r="H5" s="4">
        <v>409256</v>
      </c>
      <c r="I5" s="4">
        <f>D5+F5+G5+H5</f>
        <v>39821371</v>
      </c>
      <c r="J5" s="5">
        <f>IFERROR(I5/E5,0)</f>
        <v>10.803017741623066</v>
      </c>
      <c r="K5" s="6">
        <f t="shared" ref="K5:K17" si="0">IFERROR(C5/E5,0)</f>
        <v>0.29098155411604676</v>
      </c>
      <c r="L5" s="5">
        <f>I5/1000000</f>
        <v>39.821370999999999</v>
      </c>
      <c r="M5" s="4">
        <v>1169527</v>
      </c>
      <c r="N5" s="4">
        <v>40933445</v>
      </c>
      <c r="O5" s="4">
        <v>3992188</v>
      </c>
      <c r="P5" s="4">
        <v>1848000</v>
      </c>
      <c r="Q5" s="4">
        <v>0</v>
      </c>
      <c r="R5" s="4">
        <v>323471</v>
      </c>
      <c r="S5" s="4">
        <f t="shared" ref="S5:S16" si="1">N5+P5+Q5+R5</f>
        <v>43104916</v>
      </c>
      <c r="T5" s="5">
        <f t="shared" ref="T5:T17" si="2">IFERROR(S5/O5,0)</f>
        <v>10.797316158457468</v>
      </c>
      <c r="U5" s="6">
        <f t="shared" ref="U5:U17" si="3">IFERROR(M5/O5,0)</f>
        <v>0.29295388894510982</v>
      </c>
      <c r="V5" s="5">
        <f t="shared" ref="V5:V16" si="4">S5/1000000</f>
        <v>43.104916000000003</v>
      </c>
      <c r="W5" s="4">
        <f>S5-I5</f>
        <v>3283545</v>
      </c>
      <c r="X5" s="5">
        <f t="shared" ref="X5:X16" si="5">T5-J5</f>
        <v>-5.7015831655977678E-3</v>
      </c>
      <c r="Y5" s="6">
        <f t="shared" ref="Y5:Y16" si="6">U5-K5</f>
        <v>1.9723348290630605E-3</v>
      </c>
    </row>
    <row r="6" spans="1:27" x14ac:dyDescent="0.25">
      <c r="A6" s="2" t="s">
        <v>28</v>
      </c>
      <c r="B6" s="3" t="s">
        <v>29</v>
      </c>
      <c r="C6" s="4">
        <v>1110275</v>
      </c>
      <c r="D6" s="4">
        <v>38859625</v>
      </c>
      <c r="E6" s="4">
        <v>3823863.6</v>
      </c>
      <c r="F6" s="4">
        <v>1850000</v>
      </c>
      <c r="G6" s="4">
        <v>0</v>
      </c>
      <c r="H6" s="4">
        <v>513250</v>
      </c>
      <c r="I6" s="4">
        <f t="shared" ref="I6:I16" si="7">D6+F6+G6+H6</f>
        <v>41222875</v>
      </c>
      <c r="J6" s="5">
        <f t="shared" ref="J6:J17" si="8">IFERROR(I6/E6,0)</f>
        <v>10.780425065371055</v>
      </c>
      <c r="K6" s="6">
        <f t="shared" si="0"/>
        <v>0.29035423753085754</v>
      </c>
      <c r="L6" s="5">
        <f t="shared" ref="L6:L16" si="9">I6/1000000</f>
        <v>41.222875000000002</v>
      </c>
      <c r="M6" s="4">
        <v>1082391</v>
      </c>
      <c r="N6" s="4">
        <v>37883685</v>
      </c>
      <c r="O6" s="4">
        <v>3716275.5</v>
      </c>
      <c r="P6" s="4">
        <v>1848000</v>
      </c>
      <c r="Q6" s="4">
        <v>379023.74</v>
      </c>
      <c r="R6" s="4">
        <v>370779</v>
      </c>
      <c r="S6" s="4">
        <f t="shared" si="1"/>
        <v>40481487.740000002</v>
      </c>
      <c r="T6" s="5">
        <f t="shared" si="2"/>
        <v>10.893026563827144</v>
      </c>
      <c r="U6" s="6">
        <f t="shared" si="3"/>
        <v>0.29125693183941825</v>
      </c>
      <c r="V6" s="5">
        <f t="shared" si="4"/>
        <v>40.481487739999999</v>
      </c>
      <c r="W6" s="4">
        <f t="shared" ref="W6:W15" si="10">S6-I6</f>
        <v>-741387.25999999791</v>
      </c>
      <c r="X6" s="5">
        <f t="shared" si="5"/>
        <v>0.11260149845608858</v>
      </c>
      <c r="Y6" s="6">
        <f t="shared" si="6"/>
        <v>9.026943085607142E-4</v>
      </c>
    </row>
    <row r="7" spans="1:27" x14ac:dyDescent="0.25">
      <c r="A7" s="2" t="s">
        <v>30</v>
      </c>
      <c r="B7" s="3" t="s">
        <v>31</v>
      </c>
      <c r="C7" s="4">
        <v>1352019</v>
      </c>
      <c r="D7" s="4">
        <v>47320665</v>
      </c>
      <c r="E7" s="4">
        <v>4647498.6500000004</v>
      </c>
      <c r="F7" s="4">
        <v>1850000</v>
      </c>
      <c r="G7" s="4">
        <v>0</v>
      </c>
      <c r="H7" s="4">
        <v>484291</v>
      </c>
      <c r="I7" s="4">
        <f t="shared" si="7"/>
        <v>49654956</v>
      </c>
      <c r="J7" s="5">
        <f t="shared" si="8"/>
        <v>10.684232474171885</v>
      </c>
      <c r="K7" s="6">
        <f t="shared" si="0"/>
        <v>0.29091326363268549</v>
      </c>
      <c r="L7" s="5">
        <f t="shared" si="9"/>
        <v>49.654955999999999</v>
      </c>
      <c r="M7" s="4">
        <v>1334871</v>
      </c>
      <c r="N7" s="4">
        <v>46720485</v>
      </c>
      <c r="O7" s="4">
        <v>4670596.9400000004</v>
      </c>
      <c r="P7" s="4">
        <v>1848000</v>
      </c>
      <c r="Q7" s="4">
        <v>299.60000000000002</v>
      </c>
      <c r="R7" s="4">
        <v>321161</v>
      </c>
      <c r="S7" s="4">
        <f t="shared" si="1"/>
        <v>48889945.600000001</v>
      </c>
      <c r="T7" s="5">
        <f t="shared" si="2"/>
        <v>10.467601085697623</v>
      </c>
      <c r="U7" s="6">
        <f t="shared" si="3"/>
        <v>0.28580308195037696</v>
      </c>
      <c r="V7" s="5">
        <f t="shared" si="4"/>
        <v>48.889945600000004</v>
      </c>
      <c r="W7" s="4">
        <f t="shared" si="10"/>
        <v>-765010.39999999851</v>
      </c>
      <c r="X7" s="5">
        <f t="shared" si="5"/>
        <v>-0.21663138847426211</v>
      </c>
      <c r="Y7" s="6">
        <f t="shared" si="6"/>
        <v>-5.1101816823085344E-3</v>
      </c>
    </row>
    <row r="8" spans="1:27" x14ac:dyDescent="0.25">
      <c r="A8" s="2" t="s">
        <v>32</v>
      </c>
      <c r="B8" s="3" t="s">
        <v>33</v>
      </c>
      <c r="C8" s="4">
        <v>1423929</v>
      </c>
      <c r="D8" s="4">
        <v>49837515</v>
      </c>
      <c r="E8" s="4">
        <v>4892890.5</v>
      </c>
      <c r="F8" s="4">
        <v>1850000</v>
      </c>
      <c r="G8" s="4">
        <v>20000</v>
      </c>
      <c r="H8" s="4">
        <v>525955</v>
      </c>
      <c r="I8" s="4">
        <f t="shared" si="7"/>
        <v>52233470</v>
      </c>
      <c r="J8" s="5">
        <f t="shared" si="8"/>
        <v>10.675380943023352</v>
      </c>
      <c r="K8" s="6">
        <f t="shared" si="0"/>
        <v>0.29102000136728995</v>
      </c>
      <c r="L8" s="5">
        <f t="shared" si="9"/>
        <v>52.233469999999997</v>
      </c>
      <c r="M8" s="4">
        <v>1375203</v>
      </c>
      <c r="N8" s="4">
        <v>48132105</v>
      </c>
      <c r="O8" s="4">
        <v>4630957.3</v>
      </c>
      <c r="P8" s="4">
        <v>1848000</v>
      </c>
      <c r="Q8" s="4">
        <v>87381</v>
      </c>
      <c r="R8" s="4">
        <v>359561</v>
      </c>
      <c r="S8" s="4">
        <f t="shared" si="1"/>
        <v>50427047</v>
      </c>
      <c r="T8" s="5">
        <f t="shared" si="2"/>
        <v>10.889119405182164</v>
      </c>
      <c r="U8" s="6">
        <f t="shared" si="3"/>
        <v>0.29695868713797036</v>
      </c>
      <c r="V8" s="5">
        <f t="shared" si="4"/>
        <v>50.427047000000002</v>
      </c>
      <c r="W8" s="4">
        <f t="shared" si="10"/>
        <v>-1806423</v>
      </c>
      <c r="X8" s="5">
        <f t="shared" si="5"/>
        <v>0.21373846215881187</v>
      </c>
      <c r="Y8" s="6">
        <f t="shared" si="6"/>
        <v>5.9386857706804075E-3</v>
      </c>
    </row>
    <row r="9" spans="1:27" x14ac:dyDescent="0.25">
      <c r="A9" s="2" t="s">
        <v>34</v>
      </c>
      <c r="B9" s="3" t="s">
        <v>35</v>
      </c>
      <c r="C9" s="4">
        <v>1338059</v>
      </c>
      <c r="D9" s="4">
        <v>46832065</v>
      </c>
      <c r="E9" s="4">
        <v>4595579.42</v>
      </c>
      <c r="F9" s="4">
        <v>1850000</v>
      </c>
      <c r="G9" s="4">
        <v>0</v>
      </c>
      <c r="H9" s="4">
        <v>544185</v>
      </c>
      <c r="I9" s="4">
        <f>D9+F9+G9+H9</f>
        <v>49226250</v>
      </c>
      <c r="J9" s="5">
        <f t="shared" si="8"/>
        <v>10.711652547177609</v>
      </c>
      <c r="K9" s="6">
        <f>IFERROR(C9/E9,0)</f>
        <v>0.29116219690965539</v>
      </c>
      <c r="L9" s="5">
        <f t="shared" si="9"/>
        <v>49.22625</v>
      </c>
      <c r="M9" s="4">
        <v>1245931</v>
      </c>
      <c r="N9" s="4">
        <v>43607585</v>
      </c>
      <c r="O9" s="4">
        <v>4301887</v>
      </c>
      <c r="P9" s="4">
        <v>1848000</v>
      </c>
      <c r="Q9" s="4">
        <v>20650</v>
      </c>
      <c r="R9" s="4">
        <v>331897</v>
      </c>
      <c r="S9" s="4">
        <f t="shared" si="1"/>
        <v>45808132</v>
      </c>
      <c r="T9" s="5">
        <f t="shared" si="2"/>
        <v>10.648381047665827</v>
      </c>
      <c r="U9" s="6">
        <f t="shared" si="3"/>
        <v>0.28962429743040669</v>
      </c>
      <c r="V9" s="5">
        <f t="shared" si="4"/>
        <v>45.808132000000001</v>
      </c>
      <c r="W9" s="4">
        <f t="shared" si="10"/>
        <v>-3418118</v>
      </c>
      <c r="X9" s="5">
        <f t="shared" si="5"/>
        <v>-6.327149951178157E-2</v>
      </c>
      <c r="Y9" s="6">
        <f t="shared" si="6"/>
        <v>-1.5378994792487055E-3</v>
      </c>
    </row>
    <row r="10" spans="1:27" x14ac:dyDescent="0.25">
      <c r="A10" s="2" t="s">
        <v>36</v>
      </c>
      <c r="B10" s="3" t="s">
        <v>37</v>
      </c>
      <c r="C10" s="4">
        <v>1130109</v>
      </c>
      <c r="D10" s="4">
        <v>39553815</v>
      </c>
      <c r="E10" s="4">
        <v>3894982</v>
      </c>
      <c r="F10" s="4">
        <v>1850000</v>
      </c>
      <c r="G10" s="4">
        <v>36016</v>
      </c>
      <c r="H10" s="4">
        <v>563841</v>
      </c>
      <c r="I10" s="4">
        <f t="shared" si="7"/>
        <v>42003672</v>
      </c>
      <c r="J10" s="5">
        <f t="shared" si="8"/>
        <v>10.784047782505798</v>
      </c>
      <c r="K10" s="6">
        <f t="shared" si="0"/>
        <v>0.29014485817906221</v>
      </c>
      <c r="L10" s="5">
        <f t="shared" si="9"/>
        <v>42.003672000000002</v>
      </c>
      <c r="M10" s="4">
        <v>1134880</v>
      </c>
      <c r="N10" s="4">
        <v>39720800</v>
      </c>
      <c r="O10" s="4">
        <v>3939876.7</v>
      </c>
      <c r="P10" s="4">
        <v>1848000</v>
      </c>
      <c r="Q10" s="4">
        <v>6715</v>
      </c>
      <c r="R10" s="4">
        <v>427853</v>
      </c>
      <c r="S10" s="4">
        <f t="shared" si="1"/>
        <v>42003368</v>
      </c>
      <c r="T10" s="5">
        <f t="shared" si="2"/>
        <v>10.661086931984444</v>
      </c>
      <c r="U10" s="6">
        <f t="shared" si="3"/>
        <v>0.28804962348187191</v>
      </c>
      <c r="V10" s="5">
        <f t="shared" si="4"/>
        <v>42.003368000000002</v>
      </c>
      <c r="W10" s="4">
        <f t="shared" si="10"/>
        <v>-304</v>
      </c>
      <c r="X10" s="5">
        <f t="shared" si="5"/>
        <v>-0.12296085052135375</v>
      </c>
      <c r="Y10" s="6">
        <f t="shared" si="6"/>
        <v>-2.0952346971903069E-3</v>
      </c>
    </row>
    <row r="11" spans="1:27" x14ac:dyDescent="0.25">
      <c r="A11" s="2" t="s">
        <v>38</v>
      </c>
      <c r="B11" s="3" t="s">
        <v>39</v>
      </c>
      <c r="C11" s="4">
        <v>1237505</v>
      </c>
      <c r="D11" s="4">
        <v>43312675</v>
      </c>
      <c r="E11" s="4">
        <v>4260420.9000000004</v>
      </c>
      <c r="F11" s="4">
        <v>1849000</v>
      </c>
      <c r="G11" s="4">
        <v>83883</v>
      </c>
      <c r="H11" s="4">
        <v>515374</v>
      </c>
      <c r="I11" s="4">
        <f t="shared" si="7"/>
        <v>45760932</v>
      </c>
      <c r="J11" s="5">
        <f t="shared" si="8"/>
        <v>10.740941581616971</v>
      </c>
      <c r="K11" s="6">
        <f t="shared" si="0"/>
        <v>0.29046543265244051</v>
      </c>
      <c r="L11" s="5">
        <f t="shared" si="9"/>
        <v>45.760931999999997</v>
      </c>
      <c r="M11" s="4">
        <v>1152470</v>
      </c>
      <c r="N11" s="4">
        <v>40336450</v>
      </c>
      <c r="O11" s="4">
        <v>3883957.5</v>
      </c>
      <c r="P11" s="4">
        <v>1848000</v>
      </c>
      <c r="Q11" s="4">
        <v>179</v>
      </c>
      <c r="R11" s="4">
        <v>447003</v>
      </c>
      <c r="S11" s="4">
        <f t="shared" si="1"/>
        <v>42631632</v>
      </c>
      <c r="T11" s="5">
        <f t="shared" si="2"/>
        <v>10.976338438306804</v>
      </c>
      <c r="U11" s="6">
        <f t="shared" si="3"/>
        <v>0.2967256979511233</v>
      </c>
      <c r="V11" s="5">
        <f t="shared" si="4"/>
        <v>42.631632000000003</v>
      </c>
      <c r="W11" s="4">
        <f t="shared" si="10"/>
        <v>-3129300</v>
      </c>
      <c r="X11" s="5">
        <f t="shared" si="5"/>
        <v>0.23539685668983346</v>
      </c>
      <c r="Y11" s="6">
        <f t="shared" si="6"/>
        <v>6.2602652986827878E-3</v>
      </c>
    </row>
    <row r="12" spans="1:27" x14ac:dyDescent="0.25">
      <c r="A12" s="2" t="s">
        <v>40</v>
      </c>
      <c r="B12" s="3" t="s">
        <v>41</v>
      </c>
      <c r="C12" s="4">
        <v>1355800</v>
      </c>
      <c r="D12" s="4">
        <v>47453000</v>
      </c>
      <c r="E12" s="4">
        <v>5011388.9000000004</v>
      </c>
      <c r="F12" s="4">
        <v>1849000</v>
      </c>
      <c r="G12" s="4">
        <v>13000</v>
      </c>
      <c r="H12" s="4">
        <v>533843</v>
      </c>
      <c r="I12" s="4">
        <f t="shared" si="7"/>
        <v>49848843</v>
      </c>
      <c r="J12" s="5">
        <f t="shared" si="8"/>
        <v>9.9471112688939378</v>
      </c>
      <c r="K12" s="6">
        <f t="shared" si="0"/>
        <v>0.27054376083245102</v>
      </c>
      <c r="L12" s="5">
        <f t="shared" si="9"/>
        <v>49.848843000000002</v>
      </c>
      <c r="M12" s="4">
        <v>1056446.81</v>
      </c>
      <c r="N12" s="4">
        <v>36975638.350000001</v>
      </c>
      <c r="O12" s="4">
        <v>3768636.1</v>
      </c>
      <c r="P12" s="4">
        <v>1848000</v>
      </c>
      <c r="Q12" s="4">
        <v>65820</v>
      </c>
      <c r="R12" s="4">
        <v>389529</v>
      </c>
      <c r="S12" s="4">
        <f t="shared" si="1"/>
        <v>39278987.350000001</v>
      </c>
      <c r="T12" s="5">
        <f t="shared" si="2"/>
        <v>10.422600194802571</v>
      </c>
      <c r="U12" s="6">
        <f t="shared" si="3"/>
        <v>0.28032603360138697</v>
      </c>
      <c r="V12" s="5">
        <f t="shared" si="4"/>
        <v>39.278987350000001</v>
      </c>
      <c r="W12" s="4">
        <f t="shared" si="10"/>
        <v>-10569855.649999999</v>
      </c>
      <c r="X12" s="5">
        <f t="shared" si="5"/>
        <v>0.47548892590863368</v>
      </c>
      <c r="Y12" s="6">
        <f t="shared" si="6"/>
        <v>9.7822727689359512E-3</v>
      </c>
    </row>
    <row r="13" spans="1:27" x14ac:dyDescent="0.25">
      <c r="A13" s="2" t="s">
        <v>42</v>
      </c>
      <c r="B13" s="3" t="s">
        <v>43</v>
      </c>
      <c r="C13" s="4">
        <v>1096326</v>
      </c>
      <c r="D13" s="4">
        <v>38371410</v>
      </c>
      <c r="E13" s="4">
        <v>3744024.9</v>
      </c>
      <c r="F13" s="4">
        <v>1849000</v>
      </c>
      <c r="G13" s="4">
        <v>86640</v>
      </c>
      <c r="H13" s="4">
        <v>403001</v>
      </c>
      <c r="I13" s="4">
        <f t="shared" si="7"/>
        <v>40710051</v>
      </c>
      <c r="J13" s="5">
        <f t="shared" si="8"/>
        <v>10.873338743019579</v>
      </c>
      <c r="K13" s="6">
        <f t="shared" si="0"/>
        <v>0.29282016794279336</v>
      </c>
      <c r="L13" s="5">
        <f t="shared" si="9"/>
        <v>40.710051</v>
      </c>
      <c r="M13" s="4">
        <v>689541</v>
      </c>
      <c r="N13" s="4">
        <v>24133935</v>
      </c>
      <c r="O13" s="4">
        <v>2437076.9</v>
      </c>
      <c r="P13" s="4">
        <v>1848000</v>
      </c>
      <c r="Q13" s="4">
        <v>89000</v>
      </c>
      <c r="R13" s="4">
        <v>437840</v>
      </c>
      <c r="S13" s="4">
        <f t="shared" si="1"/>
        <v>26508775</v>
      </c>
      <c r="T13" s="5">
        <f t="shared" si="2"/>
        <v>10.87728294499037</v>
      </c>
      <c r="U13" s="6">
        <f t="shared" si="3"/>
        <v>0.28293772757027075</v>
      </c>
      <c r="V13" s="5">
        <f t="shared" si="4"/>
        <v>26.508775</v>
      </c>
      <c r="W13" s="4">
        <f t="shared" si="10"/>
        <v>-14201276</v>
      </c>
      <c r="X13" s="5">
        <f t="shared" si="5"/>
        <v>3.9442019707909282E-3</v>
      </c>
      <c r="Y13" s="6">
        <f t="shared" si="6"/>
        <v>-9.8824403725226162E-3</v>
      </c>
    </row>
    <row r="14" spans="1:27" x14ac:dyDescent="0.25">
      <c r="A14" s="2" t="s">
        <v>44</v>
      </c>
      <c r="B14" s="3" t="s">
        <v>45</v>
      </c>
      <c r="C14" s="4">
        <v>1050478</v>
      </c>
      <c r="D14" s="4">
        <v>36766730</v>
      </c>
      <c r="E14" s="4">
        <v>3708245.9</v>
      </c>
      <c r="F14" s="4">
        <v>1849000</v>
      </c>
      <c r="G14" s="4">
        <v>6430</v>
      </c>
      <c r="H14" s="4">
        <v>357345</v>
      </c>
      <c r="I14" s="4">
        <f t="shared" si="7"/>
        <v>38979505</v>
      </c>
      <c r="J14" s="5">
        <f t="shared" si="8"/>
        <v>10.511575027966726</v>
      </c>
      <c r="K14" s="6">
        <f t="shared" si="0"/>
        <v>0.28328164537308598</v>
      </c>
      <c r="L14" s="5">
        <f t="shared" si="9"/>
        <v>38.979505000000003</v>
      </c>
      <c r="M14" s="4">
        <v>580650</v>
      </c>
      <c r="N14" s="4">
        <v>20322750</v>
      </c>
      <c r="O14" s="4">
        <v>2009742.7</v>
      </c>
      <c r="P14" s="4">
        <v>1848000</v>
      </c>
      <c r="Q14" s="4">
        <v>2960</v>
      </c>
      <c r="R14" s="4">
        <v>504179</v>
      </c>
      <c r="S14" s="4">
        <f t="shared" si="1"/>
        <v>22677889</v>
      </c>
      <c r="T14" s="5">
        <f t="shared" si="2"/>
        <v>11.283976302041053</v>
      </c>
      <c r="U14" s="6">
        <f t="shared" si="3"/>
        <v>0.28891758134013873</v>
      </c>
      <c r="V14" s="5">
        <f t="shared" si="4"/>
        <v>22.677889</v>
      </c>
      <c r="W14" s="4">
        <f t="shared" si="10"/>
        <v>-16301616</v>
      </c>
      <c r="X14" s="5">
        <f t="shared" si="5"/>
        <v>0.77240127407432624</v>
      </c>
      <c r="Y14" s="6">
        <f t="shared" si="6"/>
        <v>5.635935967052752E-3</v>
      </c>
    </row>
    <row r="15" spans="1:27" x14ac:dyDescent="0.25">
      <c r="A15" s="2" t="s">
        <v>46</v>
      </c>
      <c r="B15" s="3" t="s">
        <v>47</v>
      </c>
      <c r="C15" s="4">
        <v>978803</v>
      </c>
      <c r="D15" s="4">
        <v>34258105</v>
      </c>
      <c r="E15" s="4">
        <v>3285198.5</v>
      </c>
      <c r="F15" s="4">
        <v>1849000</v>
      </c>
      <c r="G15" s="4">
        <v>40460</v>
      </c>
      <c r="H15" s="4">
        <v>405798</v>
      </c>
      <c r="I15" s="4">
        <f t="shared" si="7"/>
        <v>36553363</v>
      </c>
      <c r="J15" s="5">
        <f t="shared" si="8"/>
        <v>11.126683212597351</v>
      </c>
      <c r="K15" s="6">
        <f t="shared" si="0"/>
        <v>0.29794333584408977</v>
      </c>
      <c r="L15" s="5">
        <f t="shared" si="9"/>
        <v>36.553362999999997</v>
      </c>
      <c r="M15" s="4">
        <v>262273.42</v>
      </c>
      <c r="N15" s="4">
        <v>9179569.6999999993</v>
      </c>
      <c r="O15" s="4">
        <v>911185.7</v>
      </c>
      <c r="P15" s="4">
        <v>1848000</v>
      </c>
      <c r="Q15" s="4">
        <v>1009829.54</v>
      </c>
      <c r="R15" s="4">
        <v>526148</v>
      </c>
      <c r="S15" s="4">
        <f t="shared" si="1"/>
        <v>12563547.239999998</v>
      </c>
      <c r="T15" s="5">
        <f t="shared" si="2"/>
        <v>13.788130388789025</v>
      </c>
      <c r="U15" s="6">
        <f t="shared" si="3"/>
        <v>0.28783750666850894</v>
      </c>
      <c r="V15" s="5">
        <f t="shared" si="4"/>
        <v>12.563547239999998</v>
      </c>
      <c r="W15" s="4">
        <f t="shared" si="10"/>
        <v>-23989815.760000002</v>
      </c>
      <c r="X15" s="5">
        <f t="shared" si="5"/>
        <v>2.6614471761916736</v>
      </c>
      <c r="Y15" s="6">
        <f t="shared" si="6"/>
        <v>-1.0105829175580838E-2</v>
      </c>
    </row>
    <row r="16" spans="1:27" x14ac:dyDescent="0.25">
      <c r="A16" s="2" t="s">
        <v>48</v>
      </c>
      <c r="B16" s="3" t="s">
        <v>49</v>
      </c>
      <c r="C16" s="4">
        <v>1046974</v>
      </c>
      <c r="D16" s="4">
        <v>36644090</v>
      </c>
      <c r="E16" s="4">
        <v>3600948.8</v>
      </c>
      <c r="F16" s="4">
        <v>1849000</v>
      </c>
      <c r="G16" s="4">
        <v>17645</v>
      </c>
      <c r="H16" s="4">
        <v>283965</v>
      </c>
      <c r="I16" s="4">
        <f t="shared" si="7"/>
        <v>38794700</v>
      </c>
      <c r="J16" s="5">
        <f t="shared" si="8"/>
        <v>10.773466148699477</v>
      </c>
      <c r="K16" s="6">
        <f t="shared" si="0"/>
        <v>0.29074948246973131</v>
      </c>
      <c r="L16" s="5">
        <f t="shared" si="9"/>
        <v>38.794699999999999</v>
      </c>
      <c r="M16" s="4">
        <v>321539</v>
      </c>
      <c r="N16" s="4">
        <v>11253865</v>
      </c>
      <c r="O16" s="4">
        <v>1115485.2</v>
      </c>
      <c r="P16" s="4">
        <v>1848000</v>
      </c>
      <c r="Q16" s="4">
        <v>3300</v>
      </c>
      <c r="R16" s="4">
        <v>429529</v>
      </c>
      <c r="S16" s="4">
        <f t="shared" si="1"/>
        <v>13534694</v>
      </c>
      <c r="T16" s="5">
        <f t="shared" si="2"/>
        <v>12.133459054409688</v>
      </c>
      <c r="U16" s="6">
        <f t="shared" si="3"/>
        <v>0.28825035060976156</v>
      </c>
      <c r="V16" s="5">
        <f t="shared" si="4"/>
        <v>13.534694</v>
      </c>
      <c r="W16" s="4">
        <f>S16-I16</f>
        <v>-25260006</v>
      </c>
      <c r="X16" s="5">
        <f t="shared" si="5"/>
        <v>1.3599929057102109</v>
      </c>
      <c r="Y16" s="6">
        <f t="shared" si="6"/>
        <v>-2.4991318599697498E-3</v>
      </c>
    </row>
    <row r="17" spans="1:25" x14ac:dyDescent="0.25">
      <c r="A17" s="7" t="s">
        <v>50</v>
      </c>
      <c r="B17" s="7" t="s">
        <v>51</v>
      </c>
      <c r="C17" s="8">
        <f t="shared" ref="C17:I17" si="11">SUM(C5:C16)</f>
        <v>14192874</v>
      </c>
      <c r="D17" s="15">
        <f t="shared" si="11"/>
        <v>496750590</v>
      </c>
      <c r="E17" s="8">
        <f t="shared" si="11"/>
        <v>49151176.069999993</v>
      </c>
      <c r="F17" s="15">
        <f t="shared" si="11"/>
        <v>22194000</v>
      </c>
      <c r="G17" s="15">
        <f t="shared" si="11"/>
        <v>325294</v>
      </c>
      <c r="H17" s="15">
        <f t="shared" si="11"/>
        <v>5540104</v>
      </c>
      <c r="I17" s="8">
        <f t="shared" si="11"/>
        <v>524809988</v>
      </c>
      <c r="J17" s="9">
        <f t="shared" si="8"/>
        <v>10.677465524987184</v>
      </c>
      <c r="K17" s="10">
        <f t="shared" si="0"/>
        <v>0.28875960119014915</v>
      </c>
      <c r="L17" s="9">
        <f t="shared" ref="L17:S17" si="12">SUM(L5:L16)</f>
        <v>524.80998800000009</v>
      </c>
      <c r="M17" s="8">
        <f t="shared" si="12"/>
        <v>11405723.23</v>
      </c>
      <c r="N17" s="8">
        <f t="shared" si="12"/>
        <v>399200313.05000001</v>
      </c>
      <c r="O17" s="8">
        <f t="shared" si="12"/>
        <v>39377865.540000014</v>
      </c>
      <c r="P17" s="8">
        <f t="shared" si="12"/>
        <v>22176000</v>
      </c>
      <c r="Q17" s="8">
        <f t="shared" si="12"/>
        <v>1665157.88</v>
      </c>
      <c r="R17" s="8">
        <f t="shared" si="12"/>
        <v>4868950</v>
      </c>
      <c r="S17" s="8">
        <f t="shared" si="12"/>
        <v>427910420.93000007</v>
      </c>
      <c r="T17" s="9">
        <f>IFERROR(S17/O17,0)</f>
        <v>10.866775409533787</v>
      </c>
      <c r="U17" s="10">
        <f t="shared" si="3"/>
        <v>0.28964808207834608</v>
      </c>
      <c r="V17" s="9">
        <f>SUM(V5:V16)</f>
        <v>427.9104209300001</v>
      </c>
      <c r="W17" s="8">
        <f>SUM(W5:W16)</f>
        <v>-96899567.069999993</v>
      </c>
      <c r="X17" s="9">
        <f>T17-J17</f>
        <v>0.1893098845466028</v>
      </c>
      <c r="Y17" s="10">
        <f>U17-K17</f>
        <v>8.8848088819692972E-4</v>
      </c>
    </row>
  </sheetData>
  <mergeCells count="2">
    <mergeCell ref="A1:AA1"/>
    <mergeCell ref="A2:AA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E12"/>
  <sheetViews>
    <sheetView showGridLines="0" workbookViewId="0">
      <selection activeCell="B5" sqref="B5"/>
    </sheetView>
  </sheetViews>
  <sheetFormatPr defaultRowHeight="15" x14ac:dyDescent="0.25"/>
  <cols>
    <col min="1" max="1" width="28" customWidth="1"/>
    <col min="2" max="5" width="16" customWidth="1"/>
  </cols>
  <sheetData>
    <row r="1" spans="1:5" ht="21.95" customHeight="1" x14ac:dyDescent="0.25">
      <c r="A1" s="16" t="s">
        <v>52</v>
      </c>
      <c r="B1" s="17"/>
      <c r="C1" s="17"/>
      <c r="D1" s="17"/>
      <c r="E1" s="17"/>
    </row>
    <row r="3" spans="1:5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</row>
    <row r="4" spans="1:5" x14ac:dyDescent="0.25">
      <c r="A4" s="2" t="s">
        <v>58</v>
      </c>
      <c r="B4" s="5">
        <f>Inputs!E17/1000000</f>
        <v>49.151176069999991</v>
      </c>
      <c r="C4" s="5">
        <f>Inputs!O17/1000000</f>
        <v>39.377865540000016</v>
      </c>
      <c r="D4" s="5">
        <f t="shared" ref="D4:D12" si="0">C4-B4</f>
        <v>-9.773310529999975</v>
      </c>
      <c r="E4" s="11">
        <f>IFERROR(D4/B4,0)</f>
        <v>-0.19884184492515597</v>
      </c>
    </row>
    <row r="5" spans="1:5" x14ac:dyDescent="0.25">
      <c r="A5" s="2" t="s">
        <v>59</v>
      </c>
      <c r="B5" s="5">
        <f>Inputs!C17/1000000</f>
        <v>14.192874</v>
      </c>
      <c r="C5" s="5">
        <f>Inputs!M17/1000000</f>
        <v>11.405723230000001</v>
      </c>
      <c r="D5" s="5">
        <f t="shared" si="0"/>
        <v>-2.7871507699999984</v>
      </c>
      <c r="E5" s="11">
        <f t="shared" ref="E5:E12" si="1">IFERROR(D5/B5,0)</f>
        <v>-0.19637677118813276</v>
      </c>
    </row>
    <row r="6" spans="1:5" x14ac:dyDescent="0.25">
      <c r="A6" s="2" t="s">
        <v>60</v>
      </c>
      <c r="B6" s="5">
        <f>Inputs!D17/1000000</f>
        <v>496.75058999999999</v>
      </c>
      <c r="C6" s="5">
        <f>Inputs!N17/1000000</f>
        <v>399.20031305000003</v>
      </c>
      <c r="D6" s="5">
        <f t="shared" si="0"/>
        <v>-97.550276949999954</v>
      </c>
      <c r="E6" s="11">
        <f t="shared" si="1"/>
        <v>-0.19637677118813276</v>
      </c>
    </row>
    <row r="7" spans="1:5" x14ac:dyDescent="0.25">
      <c r="A7" s="2" t="s">
        <v>61</v>
      </c>
      <c r="B7" s="5">
        <f>Inputs!F17/1000000</f>
        <v>22.193999999999999</v>
      </c>
      <c r="C7" s="5">
        <f>Inputs!P17/1000000</f>
        <v>22.175999999999998</v>
      </c>
      <c r="D7" s="5">
        <f t="shared" si="0"/>
        <v>-1.8000000000000682E-2</v>
      </c>
      <c r="E7" s="11">
        <f t="shared" si="1"/>
        <v>-8.1103000811033089E-4</v>
      </c>
    </row>
    <row r="8" spans="1:5" x14ac:dyDescent="0.25">
      <c r="A8" s="2" t="s">
        <v>62</v>
      </c>
      <c r="B8" s="5">
        <f>Inputs!G17/1000000</f>
        <v>0.32529400000000003</v>
      </c>
      <c r="C8" s="5">
        <f>Inputs!Q17/1000000</f>
        <v>1.66515788</v>
      </c>
      <c r="D8" s="5">
        <f t="shared" si="0"/>
        <v>1.33986388</v>
      </c>
      <c r="E8" s="11">
        <f t="shared" si="1"/>
        <v>4.1189320430133964</v>
      </c>
    </row>
    <row r="9" spans="1:5" x14ac:dyDescent="0.25">
      <c r="A9" s="2" t="s">
        <v>63</v>
      </c>
      <c r="B9" s="5">
        <f>Inputs!H17/1000000</f>
        <v>5.5401040000000004</v>
      </c>
      <c r="C9" s="5">
        <f>Inputs!R17/1000000</f>
        <v>4.8689499999999999</v>
      </c>
      <c r="D9" s="5">
        <f t="shared" si="0"/>
        <v>-0.67115400000000047</v>
      </c>
      <c r="E9" s="11">
        <f t="shared" si="1"/>
        <v>-0.12114465721221125</v>
      </c>
    </row>
    <row r="10" spans="1:5" x14ac:dyDescent="0.25">
      <c r="A10" s="2" t="s">
        <v>64</v>
      </c>
      <c r="B10" s="5">
        <f>Inputs!I17/1000000</f>
        <v>524.80998799999998</v>
      </c>
      <c r="C10" s="5">
        <f>Inputs!S17/1000000</f>
        <v>427.91042093000004</v>
      </c>
      <c r="D10" s="5">
        <f t="shared" si="0"/>
        <v>-96.899567069999932</v>
      </c>
      <c r="E10" s="11">
        <f t="shared" si="1"/>
        <v>-0.18463742932804078</v>
      </c>
    </row>
    <row r="11" spans="1:5" x14ac:dyDescent="0.25">
      <c r="A11" s="2" t="s">
        <v>65</v>
      </c>
      <c r="B11" s="5">
        <f>Inputs!J17</f>
        <v>10.677465524987184</v>
      </c>
      <c r="C11" s="5">
        <f>Inputs!T17</f>
        <v>10.866775409533787</v>
      </c>
      <c r="D11" s="5">
        <f t="shared" si="0"/>
        <v>0.1893098845466028</v>
      </c>
      <c r="E11" s="11">
        <f t="shared" si="1"/>
        <v>1.7729852098663651E-2</v>
      </c>
    </row>
    <row r="12" spans="1:5" x14ac:dyDescent="0.25">
      <c r="A12" s="2" t="s">
        <v>66</v>
      </c>
      <c r="B12" s="6">
        <f>Inputs!K17</f>
        <v>0.28875960119014915</v>
      </c>
      <c r="C12" s="6">
        <f>Inputs!U17</f>
        <v>0.28964808207834608</v>
      </c>
      <c r="D12" s="6">
        <f t="shared" si="0"/>
        <v>8.8848088819692972E-4</v>
      </c>
      <c r="E12" s="11">
        <f t="shared" si="1"/>
        <v>3.0768877797828172E-3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Z64"/>
  <sheetViews>
    <sheetView showGridLines="0" topLeftCell="A26" zoomScale="115" zoomScaleNormal="115" workbookViewId="0">
      <selection activeCell="D64" sqref="D64"/>
    </sheetView>
  </sheetViews>
  <sheetFormatPr defaultRowHeight="15" x14ac:dyDescent="0.25"/>
  <cols>
    <col min="1" max="1" width="10" customWidth="1"/>
    <col min="2" max="3" width="12" customWidth="1"/>
    <col min="4" max="4" width="14" customWidth="1"/>
    <col min="5" max="5" width="12" customWidth="1"/>
    <col min="14" max="14" width="9.140625" customWidth="1"/>
  </cols>
  <sheetData>
    <row r="1" spans="1:26" ht="36" customHeight="1" x14ac:dyDescent="0.25">
      <c r="A1" s="19" t="s">
        <v>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60" spans="1:5" x14ac:dyDescent="0.25">
      <c r="A60" s="12" t="s">
        <v>68</v>
      </c>
    </row>
    <row r="62" spans="1:5" x14ac:dyDescent="0.25">
      <c r="A62" s="1" t="s">
        <v>69</v>
      </c>
      <c r="B62" s="1" t="s">
        <v>70</v>
      </c>
      <c r="C62" s="1" t="s">
        <v>71</v>
      </c>
      <c r="D62" s="1" t="s">
        <v>72</v>
      </c>
      <c r="E62" s="1" t="s">
        <v>73</v>
      </c>
    </row>
    <row r="63" spans="1:5" x14ac:dyDescent="0.25">
      <c r="A63" s="3" t="s">
        <v>54</v>
      </c>
      <c r="B63" s="5">
        <f>Inputs!D17/1000000</f>
        <v>496.75058999999999</v>
      </c>
      <c r="C63" s="5">
        <f>Inputs!F17/1000000</f>
        <v>22.193999999999999</v>
      </c>
      <c r="D63" s="5">
        <f>Inputs!G17/1000000</f>
        <v>0.32529400000000003</v>
      </c>
      <c r="E63" s="5">
        <f>Inputs!H17/1000000</f>
        <v>5.5401040000000004</v>
      </c>
    </row>
    <row r="64" spans="1:5" x14ac:dyDescent="0.25">
      <c r="A64" s="3" t="s">
        <v>55</v>
      </c>
      <c r="B64" s="5">
        <f>Inputs!N17/1000000</f>
        <v>399.20031305000003</v>
      </c>
      <c r="C64" s="5">
        <f>Inputs!P17/1000000</f>
        <v>22.175999999999998</v>
      </c>
      <c r="D64" s="5">
        <f>Inputs!Q17/1000000</f>
        <v>1.66515788</v>
      </c>
      <c r="E64" s="5">
        <f>Inputs!R17/1000000</f>
        <v>4.8689499999999999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Summary_Improvement ปึ 67 vs 68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Chalita Sajjapipat</dc:creator>
  <cp:lastModifiedBy>Chalita Sajjapipat</cp:lastModifiedBy>
  <dcterms:created xsi:type="dcterms:W3CDTF">2026-01-12T07:12:30Z</dcterms:created>
  <dcterms:modified xsi:type="dcterms:W3CDTF">2026-02-08T15:10:31Z</dcterms:modified>
</cp:coreProperties>
</file>