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เอกสารส่วนตัว\แหล่งความรู้\#2.EWS\เกาะเต่า\Data Communication\Details of PEA\12Jan26\"/>
    </mc:Choice>
  </mc:AlternateContent>
  <xr:revisionPtr revIDLastSave="0" documentId="13_ncr:1_{0EC82FFD-519F-4B53-9D8E-93C95D2657E5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Inputs" sheetId="1" r:id="rId1"/>
    <sheet name="Summary_Improvement ปึ 67 vs 68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1" l="1"/>
  <c r="L19" i="1"/>
  <c r="W19" i="1"/>
  <c r="G51" i="1"/>
  <c r="L37" i="1" s="1"/>
  <c r="L21" i="1"/>
  <c r="R51" i="1"/>
  <c r="G38" i="1"/>
  <c r="G39" i="1"/>
  <c r="G40" i="1"/>
  <c r="G41" i="1"/>
  <c r="G42" i="1"/>
  <c r="G43" i="1"/>
  <c r="G44" i="1"/>
  <c r="G45" i="1"/>
  <c r="G46" i="1"/>
  <c r="G47" i="1"/>
  <c r="G48" i="1"/>
  <c r="G49" i="1"/>
  <c r="G37" i="1"/>
  <c r="F38" i="1"/>
  <c r="F39" i="1"/>
  <c r="F40" i="1"/>
  <c r="F41" i="1"/>
  <c r="F42" i="1"/>
  <c r="F43" i="1"/>
  <c r="F44" i="1"/>
  <c r="F45" i="1"/>
  <c r="F46" i="1"/>
  <c r="F47" i="1"/>
  <c r="F48" i="1"/>
  <c r="F49" i="1"/>
  <c r="F37" i="1"/>
  <c r="E38" i="1"/>
  <c r="E39" i="1"/>
  <c r="E40" i="1"/>
  <c r="E41" i="1"/>
  <c r="E42" i="1"/>
  <c r="E43" i="1"/>
  <c r="E44" i="1"/>
  <c r="E45" i="1"/>
  <c r="E46" i="1"/>
  <c r="E47" i="1"/>
  <c r="E48" i="1"/>
  <c r="E49" i="1"/>
  <c r="E37" i="1"/>
  <c r="R38" i="1"/>
  <c r="R39" i="1"/>
  <c r="R40" i="1"/>
  <c r="R41" i="1"/>
  <c r="R42" i="1"/>
  <c r="R43" i="1"/>
  <c r="R44" i="1"/>
  <c r="R45" i="1"/>
  <c r="R46" i="1"/>
  <c r="R47" i="1"/>
  <c r="R48" i="1"/>
  <c r="R49" i="1"/>
  <c r="R37" i="1"/>
  <c r="Q38" i="1"/>
  <c r="Q39" i="1"/>
  <c r="Q40" i="1"/>
  <c r="Q41" i="1"/>
  <c r="Q42" i="1"/>
  <c r="Q43" i="1"/>
  <c r="Q44" i="1"/>
  <c r="Q45" i="1"/>
  <c r="Q46" i="1"/>
  <c r="Q47" i="1"/>
  <c r="Q48" i="1"/>
  <c r="Q49" i="1"/>
  <c r="W7" i="1"/>
  <c r="Q37" i="1"/>
  <c r="P38" i="1"/>
  <c r="P39" i="1"/>
  <c r="P40" i="1"/>
  <c r="P41" i="1"/>
  <c r="P42" i="1"/>
  <c r="P43" i="1"/>
  <c r="P44" i="1"/>
  <c r="P45" i="1"/>
  <c r="P46" i="1"/>
  <c r="P47" i="1"/>
  <c r="P48" i="1"/>
  <c r="P49" i="1"/>
  <c r="P37" i="1"/>
  <c r="W17" i="1"/>
  <c r="O17" i="1"/>
  <c r="P33" i="1"/>
  <c r="E33" i="1"/>
  <c r="Q6" i="1"/>
  <c r="Q7" i="1"/>
  <c r="Q8" i="1"/>
  <c r="Q9" i="1"/>
  <c r="Q10" i="1"/>
  <c r="Q11" i="1"/>
  <c r="Q12" i="1"/>
  <c r="Q13" i="1"/>
  <c r="Q14" i="1"/>
  <c r="Q15" i="1"/>
  <c r="Q16" i="1"/>
  <c r="Q5" i="1"/>
  <c r="L8" i="1"/>
  <c r="F6" i="1"/>
  <c r="F7" i="1"/>
  <c r="F8" i="1"/>
  <c r="F9" i="1"/>
  <c r="F10" i="1"/>
  <c r="F11" i="1"/>
  <c r="F12" i="1"/>
  <c r="F13" i="1"/>
  <c r="F14" i="1"/>
  <c r="F15" i="1"/>
  <c r="F16" i="1"/>
  <c r="F5" i="1"/>
  <c r="F19" i="1" s="1"/>
  <c r="F21" i="1" s="1"/>
  <c r="F22" i="1" s="1"/>
  <c r="K5" i="1"/>
  <c r="J5" i="1"/>
  <c r="M5" i="1" s="1"/>
  <c r="T17" i="1"/>
  <c r="E64" i="3" s="1"/>
  <c r="S17" i="1"/>
  <c r="D64" i="3" s="1"/>
  <c r="R17" i="1"/>
  <c r="C64" i="3" s="1"/>
  <c r="P17" i="1"/>
  <c r="C4" i="2" s="1"/>
  <c r="C6" i="2"/>
  <c r="N17" i="1"/>
  <c r="I17" i="1"/>
  <c r="E63" i="3" s="1"/>
  <c r="H17" i="1"/>
  <c r="B8" i="2" s="1"/>
  <c r="G17" i="1"/>
  <c r="C63" i="3" s="1"/>
  <c r="E17" i="1"/>
  <c r="B4" i="2" s="1"/>
  <c r="D17" i="1"/>
  <c r="B63" i="3" s="1"/>
  <c r="C17" i="1"/>
  <c r="L17" i="1" s="1"/>
  <c r="B12" i="2" s="1"/>
  <c r="W16" i="1"/>
  <c r="AA16" i="1" s="1"/>
  <c r="U16" i="1"/>
  <c r="V16" i="1" s="1"/>
  <c r="L16" i="1"/>
  <c r="J16" i="1"/>
  <c r="M16" i="1" s="1"/>
  <c r="W15" i="1"/>
  <c r="U15" i="1"/>
  <c r="L15" i="1"/>
  <c r="J15" i="1"/>
  <c r="M15" i="1" s="1"/>
  <c r="W14" i="1"/>
  <c r="U14" i="1"/>
  <c r="L14" i="1"/>
  <c r="J14" i="1"/>
  <c r="M14" i="1" s="1"/>
  <c r="W13" i="1"/>
  <c r="U13" i="1"/>
  <c r="V13" i="1" s="1"/>
  <c r="L13" i="1"/>
  <c r="J13" i="1"/>
  <c r="M13" i="1" s="1"/>
  <c r="W12" i="1"/>
  <c r="U12" i="1"/>
  <c r="L12" i="1"/>
  <c r="J12" i="1"/>
  <c r="K12" i="1" s="1"/>
  <c r="W11" i="1"/>
  <c r="U11" i="1"/>
  <c r="V11" i="1" s="1"/>
  <c r="L11" i="1"/>
  <c r="J11" i="1"/>
  <c r="M11" i="1" s="1"/>
  <c r="W10" i="1"/>
  <c r="U10" i="1"/>
  <c r="X10" i="1" s="1"/>
  <c r="L10" i="1"/>
  <c r="J10" i="1"/>
  <c r="M10" i="1" s="1"/>
  <c r="W9" i="1"/>
  <c r="U9" i="1"/>
  <c r="X9" i="1" s="1"/>
  <c r="L9" i="1"/>
  <c r="J9" i="1"/>
  <c r="K9" i="1" s="1"/>
  <c r="W8" i="1"/>
  <c r="U8" i="1"/>
  <c r="V8" i="1" s="1"/>
  <c r="J8" i="1"/>
  <c r="U7" i="1"/>
  <c r="L7" i="1"/>
  <c r="J7" i="1"/>
  <c r="M7" i="1" s="1"/>
  <c r="W6" i="1"/>
  <c r="U6" i="1"/>
  <c r="X6" i="1" s="1"/>
  <c r="L6" i="1"/>
  <c r="J6" i="1"/>
  <c r="M6" i="1" s="1"/>
  <c r="W5" i="1"/>
  <c r="U5" i="1"/>
  <c r="V5" i="1" s="1"/>
  <c r="L5" i="1"/>
  <c r="AA12" i="1" l="1"/>
  <c r="F17" i="1"/>
  <c r="Q17" i="1"/>
  <c r="X8" i="1"/>
  <c r="Q19" i="1"/>
  <c r="Q21" i="1" s="1"/>
  <c r="Q22" i="1" s="1"/>
  <c r="R22" i="1" s="1"/>
  <c r="S22" i="1" s="1"/>
  <c r="T22" i="1" s="1"/>
  <c r="U22" i="1" s="1"/>
  <c r="C9" i="2"/>
  <c r="G22" i="1"/>
  <c r="H22" i="1" s="1"/>
  <c r="I22" i="1" s="1"/>
  <c r="J22" i="1" s="1"/>
  <c r="F23" i="1"/>
  <c r="G21" i="1"/>
  <c r="H21" i="1" s="1"/>
  <c r="I21" i="1" s="1"/>
  <c r="J21" i="1" s="1"/>
  <c r="AA7" i="1"/>
  <c r="AA14" i="1"/>
  <c r="M9" i="1"/>
  <c r="K15" i="1"/>
  <c r="AA11" i="1"/>
  <c r="AA15" i="1"/>
  <c r="X11" i="1"/>
  <c r="AA13" i="1"/>
  <c r="AA10" i="1"/>
  <c r="Y15" i="1"/>
  <c r="AA8" i="1"/>
  <c r="Y12" i="1"/>
  <c r="Y8" i="1"/>
  <c r="AA6" i="1"/>
  <c r="AA9" i="1"/>
  <c r="Y14" i="1"/>
  <c r="AA5" i="1"/>
  <c r="K7" i="1"/>
  <c r="B5" i="2"/>
  <c r="Y5" i="1"/>
  <c r="C5" i="2"/>
  <c r="D5" i="2" s="1"/>
  <c r="E5" i="2" s="1"/>
  <c r="X5" i="1"/>
  <c r="X13" i="1"/>
  <c r="X16" i="1"/>
  <c r="B6" i="2"/>
  <c r="D6" i="2" s="1"/>
  <c r="E6" i="2" s="1"/>
  <c r="Y16" i="1"/>
  <c r="Y7" i="1"/>
  <c r="M12" i="1"/>
  <c r="D4" i="2"/>
  <c r="E4" i="2" s="1"/>
  <c r="C7" i="2"/>
  <c r="B9" i="2"/>
  <c r="C12" i="2"/>
  <c r="D12" i="2" s="1"/>
  <c r="E12" i="2" s="1"/>
  <c r="AA17" i="1"/>
  <c r="V6" i="1"/>
  <c r="K10" i="1"/>
  <c r="V14" i="1"/>
  <c r="Y10" i="1"/>
  <c r="K8" i="1"/>
  <c r="Z8" i="1" s="1"/>
  <c r="Y11" i="1"/>
  <c r="K16" i="1"/>
  <c r="Z16" i="1" s="1"/>
  <c r="J17" i="1"/>
  <c r="B7" i="2"/>
  <c r="V12" i="1"/>
  <c r="Z12" i="1" s="1"/>
  <c r="Y6" i="1"/>
  <c r="B64" i="3"/>
  <c r="K6" i="1"/>
  <c r="M8" i="1"/>
  <c r="M17" i="1" s="1"/>
  <c r="Y9" i="1"/>
  <c r="V10" i="1"/>
  <c r="X12" i="1"/>
  <c r="K14" i="1"/>
  <c r="U17" i="1"/>
  <c r="C8" i="2"/>
  <c r="D8" i="2" s="1"/>
  <c r="E8" i="2" s="1"/>
  <c r="K13" i="1"/>
  <c r="Z13" i="1" s="1"/>
  <c r="D63" i="3"/>
  <c r="X14" i="1"/>
  <c r="V7" i="1"/>
  <c r="K11" i="1"/>
  <c r="Z11" i="1" s="1"/>
  <c r="X7" i="1"/>
  <c r="X15" i="1"/>
  <c r="Y13" i="1"/>
  <c r="Z5" i="1"/>
  <c r="V9" i="1"/>
  <c r="Z9" i="1" s="1"/>
  <c r="V15" i="1"/>
  <c r="Z15" i="1" s="1"/>
  <c r="Q23" i="1" l="1"/>
  <c r="D9" i="2"/>
  <c r="E9" i="2" s="1"/>
  <c r="R21" i="1"/>
  <c r="S21" i="1" s="1"/>
  <c r="T21" i="1" s="1"/>
  <c r="U21" i="1" s="1"/>
  <c r="Q24" i="1"/>
  <c r="R23" i="1"/>
  <c r="S23" i="1" s="1"/>
  <c r="T23" i="1" s="1"/>
  <c r="U23" i="1" s="1"/>
  <c r="F24" i="1"/>
  <c r="G23" i="1"/>
  <c r="H23" i="1" s="1"/>
  <c r="I23" i="1" s="1"/>
  <c r="J23" i="1" s="1"/>
  <c r="D7" i="2"/>
  <c r="E7" i="2" s="1"/>
  <c r="Z7" i="1"/>
  <c r="X17" i="1"/>
  <c r="Z14" i="1"/>
  <c r="Z6" i="1"/>
  <c r="Y17" i="1"/>
  <c r="Z10" i="1"/>
  <c r="K17" i="1"/>
  <c r="B11" i="2" s="1"/>
  <c r="B10" i="2"/>
  <c r="V17" i="1"/>
  <c r="C10" i="2"/>
  <c r="Q25" i="1" l="1"/>
  <c r="R24" i="1"/>
  <c r="S24" i="1" s="1"/>
  <c r="T24" i="1" s="1"/>
  <c r="U24" i="1" s="1"/>
  <c r="F25" i="1"/>
  <c r="G24" i="1"/>
  <c r="H24" i="1" s="1"/>
  <c r="I24" i="1" s="1"/>
  <c r="J24" i="1" s="1"/>
  <c r="D10" i="2"/>
  <c r="E10" i="2" s="1"/>
  <c r="Z17" i="1"/>
  <c r="C11" i="2"/>
  <c r="D11" i="2" s="1"/>
  <c r="E11" i="2" s="1"/>
  <c r="Q26" i="1" l="1"/>
  <c r="R25" i="1"/>
  <c r="S25" i="1" s="1"/>
  <c r="T25" i="1" s="1"/>
  <c r="U25" i="1" s="1"/>
  <c r="F26" i="1"/>
  <c r="G25" i="1"/>
  <c r="H25" i="1" s="1"/>
  <c r="I25" i="1" s="1"/>
  <c r="J25" i="1" s="1"/>
  <c r="Q27" i="1" l="1"/>
  <c r="R26" i="1"/>
  <c r="S26" i="1" s="1"/>
  <c r="T26" i="1" s="1"/>
  <c r="U26" i="1" s="1"/>
  <c r="F27" i="1"/>
  <c r="G26" i="1"/>
  <c r="H26" i="1" s="1"/>
  <c r="I26" i="1" s="1"/>
  <c r="J26" i="1" s="1"/>
  <c r="Q28" i="1" l="1"/>
  <c r="R27" i="1"/>
  <c r="S27" i="1" s="1"/>
  <c r="T27" i="1" s="1"/>
  <c r="U27" i="1" s="1"/>
  <c r="F28" i="1"/>
  <c r="G27" i="1"/>
  <c r="H27" i="1" s="1"/>
  <c r="I27" i="1" s="1"/>
  <c r="J27" i="1" s="1"/>
  <c r="Q29" i="1" l="1"/>
  <c r="R28" i="1"/>
  <c r="S28" i="1" s="1"/>
  <c r="T28" i="1" s="1"/>
  <c r="U28" i="1" s="1"/>
  <c r="F29" i="1"/>
  <c r="G28" i="1"/>
  <c r="H28" i="1" s="1"/>
  <c r="I28" i="1" s="1"/>
  <c r="J28" i="1" s="1"/>
  <c r="Q30" i="1" l="1"/>
  <c r="R29" i="1"/>
  <c r="S29" i="1" s="1"/>
  <c r="T29" i="1" s="1"/>
  <c r="U29" i="1" s="1"/>
  <c r="F30" i="1"/>
  <c r="G29" i="1"/>
  <c r="H29" i="1" s="1"/>
  <c r="I29" i="1" s="1"/>
  <c r="J29" i="1" s="1"/>
  <c r="Q31" i="1" l="1"/>
  <c r="R30" i="1"/>
  <c r="S30" i="1" s="1"/>
  <c r="T30" i="1" s="1"/>
  <c r="U30" i="1" s="1"/>
  <c r="F31" i="1"/>
  <c r="G30" i="1"/>
  <c r="H30" i="1" s="1"/>
  <c r="I30" i="1" s="1"/>
  <c r="J30" i="1" s="1"/>
  <c r="Q32" i="1" l="1"/>
  <c r="R31" i="1"/>
  <c r="S31" i="1" s="1"/>
  <c r="T31" i="1" s="1"/>
  <c r="U31" i="1" s="1"/>
  <c r="F32" i="1"/>
  <c r="G31" i="1"/>
  <c r="H31" i="1" s="1"/>
  <c r="I31" i="1" s="1"/>
  <c r="J31" i="1" s="1"/>
  <c r="Q33" i="1" l="1"/>
  <c r="R33" i="1" s="1"/>
  <c r="S33" i="1" s="1"/>
  <c r="T33" i="1" s="1"/>
  <c r="U33" i="1" s="1"/>
  <c r="R32" i="1"/>
  <c r="S32" i="1" s="1"/>
  <c r="T32" i="1" s="1"/>
  <c r="U32" i="1" s="1"/>
  <c r="F33" i="1"/>
  <c r="G33" i="1" s="1"/>
  <c r="H33" i="1" s="1"/>
  <c r="I33" i="1" s="1"/>
  <c r="J33" i="1" s="1"/>
  <c r="G32" i="1"/>
  <c r="H32" i="1" s="1"/>
  <c r="I32" i="1" s="1"/>
  <c r="J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J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Total Cost = Fuel Cost + Rental + Maint + Other</t>
        </r>
      </text>
    </comment>
    <comment ref="K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All-in (THB/kWh) = Total Cost / Energy (kWh)</t>
        </r>
      </text>
    </comment>
    <comment ref="L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Fuel Intensity (L/kWh) = Fuel (L) / Energy (kWh)</t>
        </r>
      </text>
    </comment>
    <comment ref="E36" authorId="0" shapeId="0" xr:uid="{9FED60A2-CA23-437F-8AB6-E69A3BE86FAA}">
      <text>
        <r>
          <rPr>
            <sz val="11"/>
            <color theme="1"/>
            <rFont val="Calibri"/>
            <family val="2"/>
            <scheme val="minor"/>
          </rPr>
          <t>All-in (THB/kWh) = Total Cost / Energy (kWh)</t>
        </r>
      </text>
    </comment>
    <comment ref="F36" authorId="0" shapeId="0" xr:uid="{5A5DC2B3-BC71-483A-8AB7-1E0F1073E185}">
      <text>
        <r>
          <rPr>
            <sz val="11"/>
            <color theme="1"/>
            <rFont val="Calibri"/>
            <family val="2"/>
            <scheme val="minor"/>
          </rPr>
          <t>Fuel Intensity (L/kWh) = Fuel (L) / Energy (kWh)</t>
        </r>
      </text>
    </comment>
  </commentList>
</comments>
</file>

<file path=xl/sharedStrings.xml><?xml version="1.0" encoding="utf-8"?>
<sst xmlns="http://schemas.openxmlformats.org/spreadsheetml/2006/main" count="102" uniqueCount="83">
  <si>
    <t>Koh Tao – Standard Value KPI (2567 vs 2568) | All-in Cost, Fuel Intensity, Cost Breakdown</t>
  </si>
  <si>
    <t>Month (TH)</t>
  </si>
  <si>
    <t>Month</t>
  </si>
  <si>
    <t>Fuel (L) 2567</t>
  </si>
  <si>
    <t>Fuel Cost (THB) 2567</t>
  </si>
  <si>
    <t>Energy (kWh) 2567</t>
  </si>
  <si>
    <t>Rental (THB) 2567</t>
  </si>
  <si>
    <t>Maint. (THB) 2567</t>
  </si>
  <si>
    <t>Other (THB) 2567</t>
  </si>
  <si>
    <t>Total Cost (THB) 2567</t>
  </si>
  <si>
    <t>All-in (THB/kWh) 2567</t>
  </si>
  <si>
    <t>Fuel Intensity (L/kWh) 2567</t>
  </si>
  <si>
    <t>Total Cost (M THB) 2567</t>
  </si>
  <si>
    <t>Fuel (L) 2568</t>
  </si>
  <si>
    <t>Fuel Cost (THB) 2568</t>
  </si>
  <si>
    <t>Energy (kWh) 2568</t>
  </si>
  <si>
    <t>Rental (THB) 2568</t>
  </si>
  <si>
    <t>Maint. (THB) 2568</t>
  </si>
  <si>
    <t>Other (THB) 2568</t>
  </si>
  <si>
    <t>Total Cost (THB) 2568</t>
  </si>
  <si>
    <t>All-in (THB/kWh) 2568</t>
  </si>
  <si>
    <t>Fuel Intensity (L/kWh) 2568</t>
  </si>
  <si>
    <t>Total Cost (M THB) 2568</t>
  </si>
  <si>
    <t>Δ Total Cost (THB)</t>
  </si>
  <si>
    <t>Δ All-in (THB/kWh)</t>
  </si>
  <si>
    <t>Δ Fuel Intensity (L/kWh)</t>
  </si>
  <si>
    <t>มกราคม</t>
  </si>
  <si>
    <t>Jan</t>
  </si>
  <si>
    <t>กุมภาพันธ์</t>
  </si>
  <si>
    <t>Feb</t>
  </si>
  <si>
    <t>มีนาคม</t>
  </si>
  <si>
    <t>Mar</t>
  </si>
  <si>
    <t>เมษายน</t>
  </si>
  <si>
    <t>Apr</t>
  </si>
  <si>
    <t>พฤษภาคม</t>
  </si>
  <si>
    <t>May</t>
  </si>
  <si>
    <t>มิถุนายน</t>
  </si>
  <si>
    <t>Jun</t>
  </si>
  <si>
    <t>กรกฎาคม</t>
  </si>
  <si>
    <t>Jul</t>
  </si>
  <si>
    <t>สิงหาคม</t>
  </si>
  <si>
    <t>Aug</t>
  </si>
  <si>
    <t>กันยายน</t>
  </si>
  <si>
    <t>Sep</t>
  </si>
  <si>
    <t>ตุลาคม</t>
  </si>
  <si>
    <t>Oct</t>
  </si>
  <si>
    <t>พฤศจิกายน</t>
  </si>
  <si>
    <t>Nov</t>
  </si>
  <si>
    <t>ธันวาคม</t>
  </si>
  <si>
    <t>Dec</t>
  </si>
  <si>
    <t>รวม</t>
  </si>
  <si>
    <t>Total</t>
  </si>
  <si>
    <t>Annual KPI Summary</t>
  </si>
  <si>
    <t>Metric</t>
  </si>
  <si>
    <t>2567</t>
  </si>
  <si>
    <t>2568</t>
  </si>
  <si>
    <t>Δ (2568-2567)</t>
  </si>
  <si>
    <t>%Δ vs 2567</t>
  </si>
  <si>
    <t>Energy (GWh)</t>
  </si>
  <si>
    <t>Fuel (Million L)</t>
  </si>
  <si>
    <t>Fuel cost (Million THB)</t>
  </si>
  <si>
    <t>Rental (Million THB)</t>
  </si>
  <si>
    <t>Maintenance (Million THB)</t>
  </si>
  <si>
    <t>Other (Million THB)</t>
  </si>
  <si>
    <t>Total cost (Million THB)</t>
  </si>
  <si>
    <t>All-in cost (THB/kWh)</t>
  </si>
  <si>
    <t>Fuel intensity (L/kWh)</t>
  </si>
  <si>
    <t>Standard Value Charts (2567 vs 2568)</t>
  </si>
  <si>
    <t>4) Cost Breakdown (Annual, Million THB)</t>
  </si>
  <si>
    <t>Year</t>
  </si>
  <si>
    <t>Fuel</t>
  </si>
  <si>
    <t>Rental</t>
  </si>
  <si>
    <t>Maintenance</t>
  </si>
  <si>
    <t>Other</t>
  </si>
  <si>
    <r>
      <rPr>
        <b/>
        <sz val="11"/>
        <color theme="1"/>
        <rFont val="Calibri"/>
        <family val="2"/>
        <scheme val="minor"/>
      </rPr>
      <t>Definitions:</t>
    </r>
    <r>
      <rPr>
        <sz val="11"/>
        <color theme="1"/>
        <rFont val="Calibri"/>
        <family val="2"/>
        <scheme val="minor"/>
      </rPr>
      <t xml:space="preserve">
Total Cost = Fuel Cost + Rental + Maintenance + Other
All-in Cost (THB/kWh) = Total Cost / Energy (kWh)
Fuel Intensity (L/kWh) = Fuel (L) / Energy (kWh)</t>
    </r>
  </si>
  <si>
    <t>ค่าเฉลี่ย (THB/kWh)</t>
  </si>
  <si>
    <t>Fuel Cost /Energy</t>
  </si>
  <si>
    <t>% error</t>
  </si>
  <si>
    <t>AbsError_bath</t>
  </si>
  <si>
    <t>Error bath</t>
  </si>
  <si>
    <r>
      <t xml:space="preserve">Fuel Cost (บาท) </t>
    </r>
    <r>
      <rPr>
        <sz val="11"/>
        <rFont val="Calibri"/>
        <family val="2"/>
      </rPr>
      <t>จากการอิงค่า 10.12</t>
    </r>
  </si>
  <si>
    <t>Weighted average</t>
  </si>
  <si>
    <t>THB/L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</si>
</sst>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87" formatCode="0.0000"/>
    <numFmt numFmtId="188" formatCode="0.0%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8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87" fontId="0" fillId="0" borderId="1" xfId="0" applyNumberFormat="1" applyBorder="1" applyAlignment="1">
      <alignment horizontal="right" vertical="center"/>
    </xf>
    <xf numFmtId="0" fontId="2" fillId="4" borderId="1" xfId="0" applyFont="1" applyFill="1" applyBorder="1"/>
    <xf numFmtId="3" fontId="2" fillId="4" borderId="1" xfId="0" applyNumberFormat="1" applyFont="1" applyFill="1" applyBorder="1" applyAlignment="1">
      <alignment horizontal="right" vertical="center"/>
    </xf>
    <xf numFmtId="2" fontId="2" fillId="4" borderId="1" xfId="0" applyNumberFormat="1" applyFont="1" applyFill="1" applyBorder="1" applyAlignment="1">
      <alignment horizontal="right" vertical="center"/>
    </xf>
    <xf numFmtId="187" fontId="2" fillId="4" borderId="1" xfId="0" applyNumberFormat="1" applyFont="1" applyFill="1" applyBorder="1" applyAlignment="1">
      <alignment horizontal="right" vertical="center"/>
    </xf>
    <xf numFmtId="188" fontId="0" fillId="0" borderId="1" xfId="0" applyNumberFormat="1" applyBorder="1" applyAlignment="1">
      <alignment horizontal="right" vertical="center"/>
    </xf>
    <xf numFmtId="0" fontId="2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0" fontId="3" fillId="7" borderId="0" xfId="0" applyFont="1" applyFill="1"/>
    <xf numFmtId="2" fontId="3" fillId="7" borderId="0" xfId="0" applyNumberFormat="1" applyFont="1" applyFill="1"/>
    <xf numFmtId="43" fontId="0" fillId="0" borderId="0" xfId="1" applyFont="1"/>
    <xf numFmtId="0" fontId="2" fillId="5" borderId="0" xfId="0" applyFont="1" applyFill="1" applyAlignment="1">
      <alignment horizontal="center" vertical="center" wrapText="1"/>
    </xf>
    <xf numFmtId="43" fontId="0" fillId="0" borderId="0" xfId="0" applyNumberFormat="1"/>
    <xf numFmtId="0" fontId="2" fillId="6" borderId="0" xfId="0" applyFont="1" applyFill="1" applyAlignment="1">
      <alignment horizontal="center" vertical="center" wrapText="1"/>
    </xf>
    <xf numFmtId="0" fontId="7" fillId="0" borderId="0" xfId="0" applyFont="1"/>
    <xf numFmtId="0" fontId="3" fillId="8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87" fontId="0" fillId="0" borderId="0" xfId="0" applyNumberFormat="1"/>
    <xf numFmtId="0" fontId="3" fillId="9" borderId="0" xfId="0" applyFont="1" applyFill="1" applyAlignment="1">
      <alignment horizontal="center" vertical="center"/>
    </xf>
    <xf numFmtId="2" fontId="8" fillId="10" borderId="1" xfId="0" applyNumberFormat="1" applyFont="1" applyFill="1" applyBorder="1" applyAlignment="1">
      <alignment horizontal="right" vertical="center"/>
    </xf>
    <xf numFmtId="187" fontId="0" fillId="10" borderId="1" xfId="0" applyNumberFormat="1" applyFill="1" applyBorder="1" applyAlignment="1">
      <alignment horizontal="right" vertical="center"/>
    </xf>
    <xf numFmtId="43" fontId="0" fillId="10" borderId="0" xfId="1" applyFont="1" applyFill="1"/>
    <xf numFmtId="2" fontId="0" fillId="10" borderId="1" xfId="0" applyNumberFormat="1" applyFill="1" applyBorder="1" applyAlignment="1">
      <alignment horizontal="right" vertical="center"/>
    </xf>
    <xf numFmtId="0" fontId="0" fillId="10" borderId="0" xfId="0" applyFill="1"/>
    <xf numFmtId="43" fontId="3" fillId="11" borderId="0" xfId="0" applyNumberFormat="1" applyFont="1" applyFill="1"/>
    <xf numFmtId="187" fontId="3" fillId="11" borderId="0" xfId="0" applyNumberFormat="1" applyFont="1" applyFill="1"/>
    <xf numFmtId="0" fontId="3" fillId="8" borderId="0" xfId="0" applyFont="1" applyFill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1) Total Cost by Month (Million THB)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Inputs!$M$4</c:f>
              <c:strCache>
                <c:ptCount val="1"/>
                <c:pt idx="0">
                  <c:v>Total Cost (M THB) 2567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Inputs!$M$5:$M$16</c:f>
              <c:numCache>
                <c:formatCode>0.00</c:formatCode>
                <c:ptCount val="12"/>
                <c:pt idx="0">
                  <c:v>39.821370999999999</c:v>
                </c:pt>
                <c:pt idx="1">
                  <c:v>41.222875000000002</c:v>
                </c:pt>
                <c:pt idx="2">
                  <c:v>49.654955999999999</c:v>
                </c:pt>
                <c:pt idx="3">
                  <c:v>52.233469999999997</c:v>
                </c:pt>
                <c:pt idx="4">
                  <c:v>49.22625</c:v>
                </c:pt>
                <c:pt idx="5">
                  <c:v>42.003672000000002</c:v>
                </c:pt>
                <c:pt idx="6">
                  <c:v>45.760931999999997</c:v>
                </c:pt>
                <c:pt idx="7">
                  <c:v>49.848843000000002</c:v>
                </c:pt>
                <c:pt idx="8">
                  <c:v>40.710051</c:v>
                </c:pt>
                <c:pt idx="9">
                  <c:v>38.979505000000003</c:v>
                </c:pt>
                <c:pt idx="10">
                  <c:v>36.553362999999997</c:v>
                </c:pt>
                <c:pt idx="11">
                  <c:v>38.794699999999999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7-4661-A2E3-6CDB7DBCBBB0}"/>
            </c:ext>
          </c:extLst>
        </c:ser>
        <c:ser>
          <c:idx val="1"/>
          <c:order val="1"/>
          <c:tx>
            <c:strRef>
              <c:f>Inputs!$X$4</c:f>
              <c:strCache>
                <c:ptCount val="1"/>
                <c:pt idx="0">
                  <c:v>Total Cost (M THB) 2568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Inputs!$X$5:$X$16</c:f>
              <c:numCache>
                <c:formatCode>0.00</c:formatCode>
                <c:ptCount val="12"/>
                <c:pt idx="0">
                  <c:v>43.104916000000003</c:v>
                </c:pt>
                <c:pt idx="1">
                  <c:v>40.481487739999999</c:v>
                </c:pt>
                <c:pt idx="2">
                  <c:v>48.889945600000004</c:v>
                </c:pt>
                <c:pt idx="3">
                  <c:v>50.427047000000002</c:v>
                </c:pt>
                <c:pt idx="4">
                  <c:v>45.808132000000001</c:v>
                </c:pt>
                <c:pt idx="5">
                  <c:v>42.003368000000002</c:v>
                </c:pt>
                <c:pt idx="6">
                  <c:v>42.631632000000003</c:v>
                </c:pt>
                <c:pt idx="7">
                  <c:v>39.278987350000001</c:v>
                </c:pt>
                <c:pt idx="8">
                  <c:v>26.508775</c:v>
                </c:pt>
                <c:pt idx="9">
                  <c:v>22.170750000000002</c:v>
                </c:pt>
                <c:pt idx="10">
                  <c:v>11.027569699999999</c:v>
                </c:pt>
                <c:pt idx="11">
                  <c:v>13.101865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67-4661-A2E3-6CDB7DBCB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Cosr </a:t>
                </a:r>
                <a:r>
                  <a:rPr lang="th-TH" baseline="0"/>
                  <a:t>(</a:t>
                </a:r>
                <a:r>
                  <a:rPr lang="en-US" baseline="0"/>
                  <a:t>THB</a:t>
                </a:r>
                <a:r>
                  <a:rPr lang="th-TH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2) All-in Cost (THB/kWh)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Inputs!$K$4</c:f>
              <c:strCache>
                <c:ptCount val="1"/>
                <c:pt idx="0">
                  <c:v>All-in (THB/kWh) 2567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Inputs!$K$5:$K$16</c:f>
              <c:numCache>
                <c:formatCode>0.00</c:formatCode>
                <c:ptCount val="12"/>
                <c:pt idx="0">
                  <c:v>10.803017741623066</c:v>
                </c:pt>
                <c:pt idx="1">
                  <c:v>10.780425065371055</c:v>
                </c:pt>
                <c:pt idx="2">
                  <c:v>10.684232474171885</c:v>
                </c:pt>
                <c:pt idx="3">
                  <c:v>10.675380943023352</c:v>
                </c:pt>
                <c:pt idx="4">
                  <c:v>10.711652547177609</c:v>
                </c:pt>
                <c:pt idx="5">
                  <c:v>10.784047782505798</c:v>
                </c:pt>
                <c:pt idx="6">
                  <c:v>10.740941581616971</c:v>
                </c:pt>
                <c:pt idx="7">
                  <c:v>9.9471112688939378</c:v>
                </c:pt>
                <c:pt idx="8">
                  <c:v>10.873338743019579</c:v>
                </c:pt>
                <c:pt idx="9">
                  <c:v>10.511575027966726</c:v>
                </c:pt>
                <c:pt idx="10">
                  <c:v>11.126683212597351</c:v>
                </c:pt>
                <c:pt idx="11">
                  <c:v>10.773466148699477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7-4828-B653-023177D3DF13}"/>
            </c:ext>
          </c:extLst>
        </c:ser>
        <c:ser>
          <c:idx val="1"/>
          <c:order val="1"/>
          <c:tx>
            <c:strRef>
              <c:f>Inputs!$V$4</c:f>
              <c:strCache>
                <c:ptCount val="1"/>
                <c:pt idx="0">
                  <c:v>All-in (THB/kWh) 2568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Inputs!$V$5:$V$16</c:f>
              <c:numCache>
                <c:formatCode>0.00</c:formatCode>
                <c:ptCount val="12"/>
                <c:pt idx="0">
                  <c:v>10.797316158457468</c:v>
                </c:pt>
                <c:pt idx="1">
                  <c:v>10.893026563827144</c:v>
                </c:pt>
                <c:pt idx="2">
                  <c:v>10.467601085697623</c:v>
                </c:pt>
                <c:pt idx="3">
                  <c:v>10.889119405182164</c:v>
                </c:pt>
                <c:pt idx="4">
                  <c:v>10.648381047665827</c:v>
                </c:pt>
                <c:pt idx="5">
                  <c:v>10.661086931984444</c:v>
                </c:pt>
                <c:pt idx="6">
                  <c:v>10.976338438306804</c:v>
                </c:pt>
                <c:pt idx="7">
                  <c:v>10.422600194802571</c:v>
                </c:pt>
                <c:pt idx="8">
                  <c:v>10.87728294499037</c:v>
                </c:pt>
                <c:pt idx="9">
                  <c:v>11.031636039777629</c:v>
                </c:pt>
                <c:pt idx="10">
                  <c:v>12.102439382005226</c:v>
                </c:pt>
                <c:pt idx="11">
                  <c:v>11.745440459452084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7-4828-B653-023177D3D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All in Cosr </a:t>
                </a:r>
                <a:r>
                  <a:rPr lang="th-TH"/>
                  <a:t>(</a:t>
                </a:r>
                <a:r>
                  <a:rPr lang="en-US"/>
                  <a:t>THB/kWh</a:t>
                </a:r>
                <a:r>
                  <a:rPr lang="th-TH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3) Fuel Intensity (L/kWh)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Inputs!$L$4</c:f>
              <c:strCache>
                <c:ptCount val="1"/>
                <c:pt idx="0">
                  <c:v>Fuel Intensity (L/kWh) 2567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Inputs!$L$5:$L$16</c:f>
              <c:numCache>
                <c:formatCode>0.0000</c:formatCode>
                <c:ptCount val="12"/>
                <c:pt idx="0">
                  <c:v>0.29098155411604676</c:v>
                </c:pt>
                <c:pt idx="1">
                  <c:v>0.29035423753085754</c:v>
                </c:pt>
                <c:pt idx="2">
                  <c:v>0.29091326363268549</c:v>
                </c:pt>
                <c:pt idx="3">
                  <c:v>0.29102000136728995</c:v>
                </c:pt>
                <c:pt idx="4">
                  <c:v>0.29116219690965539</c:v>
                </c:pt>
                <c:pt idx="5">
                  <c:v>0.29014485817906221</c:v>
                </c:pt>
                <c:pt idx="6">
                  <c:v>0.29046543265244051</c:v>
                </c:pt>
                <c:pt idx="7">
                  <c:v>0.27054376083245102</c:v>
                </c:pt>
                <c:pt idx="8">
                  <c:v>0.29282016794279336</c:v>
                </c:pt>
                <c:pt idx="9">
                  <c:v>0.28328164537308598</c:v>
                </c:pt>
                <c:pt idx="10">
                  <c:v>0.29794333584408977</c:v>
                </c:pt>
                <c:pt idx="11">
                  <c:v>0.29074948246973131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E3-4D74-A609-D9F29F8EE083}"/>
            </c:ext>
          </c:extLst>
        </c:ser>
        <c:ser>
          <c:idx val="1"/>
          <c:order val="1"/>
          <c:tx>
            <c:strRef>
              <c:f>Inputs!$W$4</c:f>
              <c:strCache>
                <c:ptCount val="1"/>
                <c:pt idx="0">
                  <c:v>Fuel Intensity (L/kWh) 2568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Inputs!$B$5:$B$16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Inputs!$W$5:$W$16</c:f>
              <c:numCache>
                <c:formatCode>0.0000</c:formatCode>
                <c:ptCount val="12"/>
                <c:pt idx="0">
                  <c:v>0.29295388894510982</c:v>
                </c:pt>
                <c:pt idx="1">
                  <c:v>0.29125693183941825</c:v>
                </c:pt>
                <c:pt idx="2">
                  <c:v>0.28580308195037696</c:v>
                </c:pt>
                <c:pt idx="3">
                  <c:v>0.29695868713797036</c:v>
                </c:pt>
                <c:pt idx="4">
                  <c:v>0.28962429743040669</c:v>
                </c:pt>
                <c:pt idx="5">
                  <c:v>0.28804962348187191</c:v>
                </c:pt>
                <c:pt idx="6">
                  <c:v>0.2967256979511233</c:v>
                </c:pt>
                <c:pt idx="7">
                  <c:v>0.28032603360138697</c:v>
                </c:pt>
                <c:pt idx="8">
                  <c:v>0.28293772757027075</c:v>
                </c:pt>
                <c:pt idx="9">
                  <c:v>0.28891758134013873</c:v>
                </c:pt>
                <c:pt idx="10">
                  <c:v>0.28783750666850894</c:v>
                </c:pt>
                <c:pt idx="11">
                  <c:v>0.28825035060976156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E3-4D74-A609-D9F29F8EE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Intensity (L/kWh)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Cost Breakdown (Annual, Million THB)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4774569109425842E-2"/>
          <c:y val="8.7997155975099661E-2"/>
          <c:w val="0.92522543089057419"/>
          <c:h val="0.87347901397051597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Charts!$B$62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1"/>
          <c:cat>
            <c:strRef>
              <c:f>Charts!$A$63:$A$64</c:f>
              <c:strCache>
                <c:ptCount val="2"/>
                <c:pt idx="0">
                  <c:v>2567</c:v>
                </c:pt>
                <c:pt idx="1">
                  <c:v>2568</c:v>
                </c:pt>
              </c:strCache>
            </c:strRef>
          </c:cat>
          <c:val>
            <c:numRef>
              <c:f>Charts!$B$63:$B$64</c:f>
              <c:numCache>
                <c:formatCode>0.00</c:formatCode>
                <c:ptCount val="2"/>
                <c:pt idx="0">
                  <c:v>496.75058999999999</c:v>
                </c:pt>
                <c:pt idx="1">
                  <c:v>399.20031305000003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3899-4CA4-AB4C-EBBA5C17A471}"/>
            </c:ext>
          </c:extLst>
        </c:ser>
        <c:ser>
          <c:idx val="1"/>
          <c:order val="1"/>
          <c:tx>
            <c:strRef>
              <c:f>Charts!$C$62</c:f>
              <c:strCache>
                <c:ptCount val="1"/>
                <c:pt idx="0">
                  <c:v>Rental</c:v>
                </c:pt>
              </c:strCache>
            </c:strRef>
          </c:tx>
          <c:spPr>
            <a:solidFill>
              <a:srgbClr val="4BACC6"/>
            </a:solidFill>
            <a:ln>
              <a:noFill/>
            </a:ln>
            <a:effectLst/>
          </c:spPr>
          <c:invertIfNegative val="1"/>
          <c:cat>
            <c:strRef>
              <c:f>Charts!$A$63:$A$64</c:f>
              <c:strCache>
                <c:ptCount val="2"/>
                <c:pt idx="0">
                  <c:v>2567</c:v>
                </c:pt>
                <c:pt idx="1">
                  <c:v>2568</c:v>
                </c:pt>
              </c:strCache>
            </c:strRef>
          </c:cat>
          <c:val>
            <c:numRef>
              <c:f>Charts!$C$63:$C$64</c:f>
              <c:numCache>
                <c:formatCode>0.00</c:formatCode>
                <c:ptCount val="2"/>
                <c:pt idx="0">
                  <c:v>22.193999999999999</c:v>
                </c:pt>
                <c:pt idx="1">
                  <c:v>22.175999999999998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3899-4CA4-AB4C-EBBA5C17A471}"/>
            </c:ext>
          </c:extLst>
        </c:ser>
        <c:ser>
          <c:idx val="2"/>
          <c:order val="2"/>
          <c:tx>
            <c:strRef>
              <c:f>Charts!$D$62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  <a:effectLst/>
          </c:spPr>
          <c:invertIfNegative val="1"/>
          <c:cat>
            <c:strRef>
              <c:f>Charts!$A$63:$A$64</c:f>
              <c:strCache>
                <c:ptCount val="2"/>
                <c:pt idx="0">
                  <c:v>2567</c:v>
                </c:pt>
                <c:pt idx="1">
                  <c:v>2568</c:v>
                </c:pt>
              </c:strCache>
            </c:strRef>
          </c:cat>
          <c:val>
            <c:numRef>
              <c:f>Charts!$D$63:$D$64</c:f>
              <c:numCache>
                <c:formatCode>0.00</c:formatCode>
                <c:ptCount val="2"/>
                <c:pt idx="0">
                  <c:v>0.32529400000000003</c:v>
                </c:pt>
                <c:pt idx="1">
                  <c:v>0.64906834000000002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3899-4CA4-AB4C-EBBA5C17A471}"/>
            </c:ext>
          </c:extLst>
        </c:ser>
        <c:ser>
          <c:idx val="3"/>
          <c:order val="3"/>
          <c:tx>
            <c:strRef>
              <c:f>Charts!$E$62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B65708"/>
            </a:solidFill>
            <a:ln>
              <a:noFill/>
            </a:ln>
            <a:effectLst/>
          </c:spPr>
          <c:invertIfNegative val="1"/>
          <c:cat>
            <c:strRef>
              <c:f>Charts!$A$63:$A$64</c:f>
              <c:strCache>
                <c:ptCount val="2"/>
                <c:pt idx="0">
                  <c:v>2567</c:v>
                </c:pt>
                <c:pt idx="1">
                  <c:v>2568</c:v>
                </c:pt>
              </c:strCache>
            </c:strRef>
          </c:cat>
          <c:val>
            <c:numRef>
              <c:f>Charts!$E$63:$E$64</c:f>
              <c:numCache>
                <c:formatCode>0.00</c:formatCode>
                <c:ptCount val="2"/>
                <c:pt idx="0">
                  <c:v>5.5401040000000004</c:v>
                </c:pt>
                <c:pt idx="1">
                  <c:v>3.4090940000000001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3899-4CA4-AB4C-EBBA5C17A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baseline="0"/>
                  <a:t>Annual Cost Breakdown </a:t>
                </a:r>
                <a:r>
                  <a:rPr lang="th-TH" sz="900" b="1" i="0" u="none" strike="noStrike" baseline="0"/>
                  <a:t>(</a:t>
                </a:r>
                <a:r>
                  <a:rPr lang="en-US" sz="900" b="1" i="0" u="none" strike="noStrike" baseline="0"/>
                  <a:t>THB</a:t>
                </a:r>
                <a:r>
                  <a:rPr lang="th-TH" sz="900" b="1" i="0" u="none" strike="noStrike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486501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566167941926813"/>
          <c:y val="8.8172918796518548E-2"/>
          <c:w val="0.43599230593517996"/>
          <c:h val="3.7815343766343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990600</xdr:colOff>
      <xdr:row>45</xdr:row>
      <xdr:rowOff>133350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9DA8CED5-58DA-7AB0-C57F-CEE61A9ECA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990600</xdr:colOff>
      <xdr:row>45</xdr:row>
      <xdr:rowOff>133350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6B31E50B-850D-1D51-066B-FF9BB52C7E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15475" cy="1001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990600</xdr:colOff>
      <xdr:row>45</xdr:row>
      <xdr:rowOff>133350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B022FA43-FAFF-E5A2-62ED-2B6E170D51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15475" cy="1001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990600</xdr:colOff>
      <xdr:row>45</xdr:row>
      <xdr:rowOff>133350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58E1DBCB-8106-E4D6-D66C-089F6394ED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15475" cy="1001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0</xdr:rowOff>
    </xdr:from>
    <xdr:to>
      <xdr:col>9</xdr:col>
      <xdr:colOff>176894</xdr:colOff>
      <xdr:row>22</xdr:row>
      <xdr:rowOff>95250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24</xdr:row>
      <xdr:rowOff>111577</xdr:rowOff>
    </xdr:from>
    <xdr:to>
      <xdr:col>9</xdr:col>
      <xdr:colOff>13607</xdr:colOff>
      <xdr:row>46</xdr:row>
      <xdr:rowOff>35378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340179</xdr:colOff>
      <xdr:row>2</xdr:row>
      <xdr:rowOff>132670</xdr:rowOff>
    </xdr:from>
    <xdr:to>
      <xdr:col>23</xdr:col>
      <xdr:colOff>411617</xdr:colOff>
      <xdr:row>21</xdr:row>
      <xdr:rowOff>37420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158483</xdr:colOff>
      <xdr:row>24</xdr:row>
      <xdr:rowOff>125184</xdr:rowOff>
    </xdr:from>
    <xdr:to>
      <xdr:col>26</xdr:col>
      <xdr:colOff>102454</xdr:colOff>
      <xdr:row>73</xdr:row>
      <xdr:rowOff>112059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C51"/>
  <sheetViews>
    <sheetView showGridLines="0" tabSelected="1" topLeftCell="C2" zoomScale="70" zoomScaleNormal="70" workbookViewId="0">
      <selection activeCell="N36" sqref="N36"/>
    </sheetView>
  </sheetViews>
  <sheetFormatPr defaultRowHeight="15" x14ac:dyDescent="0.25"/>
  <cols>
    <col min="1" max="1" width="12" customWidth="1"/>
    <col min="2" max="2" width="8" customWidth="1"/>
    <col min="3" max="3" width="14" customWidth="1"/>
    <col min="4" max="4" width="18" customWidth="1"/>
    <col min="5" max="5" width="18.5703125" customWidth="1"/>
    <col min="6" max="6" width="16" customWidth="1"/>
    <col min="7" max="7" width="19.5703125" customWidth="1"/>
    <col min="8" max="8" width="18.28515625" customWidth="1"/>
    <col min="9" max="9" width="14" customWidth="1"/>
    <col min="10" max="10" width="17.85546875" customWidth="1"/>
    <col min="11" max="11" width="21.140625" customWidth="1"/>
    <col min="12" max="13" width="18" customWidth="1"/>
    <col min="14" max="14" width="14" customWidth="1"/>
    <col min="15" max="15" width="18" customWidth="1"/>
    <col min="16" max="16" width="21" customWidth="1"/>
    <col min="17" max="17" width="16" customWidth="1"/>
    <col min="18" max="18" width="18.7109375" customWidth="1"/>
    <col min="19" max="20" width="14" customWidth="1"/>
    <col min="21" max="21" width="18" customWidth="1"/>
    <col min="22" max="22" width="16" customWidth="1"/>
    <col min="23" max="24" width="18" customWidth="1"/>
    <col min="25" max="26" width="16" customWidth="1"/>
    <col min="27" max="27" width="20" customWidth="1"/>
  </cols>
  <sheetData>
    <row r="1" spans="1:29" ht="26.1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</row>
    <row r="2" spans="1:29" ht="69" customHeight="1" x14ac:dyDescent="0.25">
      <c r="A2" s="28" t="s">
        <v>74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1:29" ht="38.25" customHeight="1" x14ac:dyDescent="0.25"/>
    <row r="4" spans="1:29" ht="30" x14ac:dyDescent="0.25">
      <c r="A4" s="1" t="s">
        <v>1</v>
      </c>
      <c r="B4" s="1" t="s">
        <v>2</v>
      </c>
      <c r="C4" s="13" t="s">
        <v>3</v>
      </c>
      <c r="D4" s="13" t="s">
        <v>4</v>
      </c>
      <c r="E4" s="13" t="s">
        <v>5</v>
      </c>
      <c r="F4" s="13" t="s">
        <v>76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4" t="s">
        <v>13</v>
      </c>
      <c r="O4" s="14" t="s">
        <v>14</v>
      </c>
      <c r="P4" s="14" t="s">
        <v>15</v>
      </c>
      <c r="Q4" s="14" t="s">
        <v>76</v>
      </c>
      <c r="R4" s="14" t="s">
        <v>16</v>
      </c>
      <c r="S4" s="14" t="s">
        <v>17</v>
      </c>
      <c r="T4" s="14" t="s">
        <v>18</v>
      </c>
      <c r="U4" s="14" t="s">
        <v>19</v>
      </c>
      <c r="V4" s="14" t="s">
        <v>20</v>
      </c>
      <c r="W4" s="14" t="s">
        <v>21</v>
      </c>
      <c r="X4" s="14" t="s">
        <v>22</v>
      </c>
      <c r="Y4" s="1" t="s">
        <v>23</v>
      </c>
      <c r="Z4" s="1" t="s">
        <v>24</v>
      </c>
      <c r="AA4" s="1" t="s">
        <v>25</v>
      </c>
    </row>
    <row r="5" spans="1:29" x14ac:dyDescent="0.25">
      <c r="A5" s="2" t="s">
        <v>26</v>
      </c>
      <c r="B5" s="3" t="s">
        <v>27</v>
      </c>
      <c r="C5" s="4">
        <v>1072597</v>
      </c>
      <c r="D5" s="4">
        <v>37540895</v>
      </c>
      <c r="E5" s="4">
        <v>3686134</v>
      </c>
      <c r="F5" s="17">
        <f>D5/E5</f>
        <v>10.184354394061637</v>
      </c>
      <c r="G5" s="4">
        <v>1850000</v>
      </c>
      <c r="H5" s="4">
        <v>21220</v>
      </c>
      <c r="I5" s="4">
        <v>409256</v>
      </c>
      <c r="J5" s="4">
        <f>D5+G5+H5+I5</f>
        <v>39821371</v>
      </c>
      <c r="K5" s="16">
        <f>IFERROR(J5/E5,0)</f>
        <v>10.803017741623066</v>
      </c>
      <c r="L5" s="6">
        <f t="shared" ref="L5:L17" si="0">IFERROR(C5/E5,0)</f>
        <v>0.29098155411604676</v>
      </c>
      <c r="M5" s="5">
        <f>J5/1000000</f>
        <v>39.821370999999999</v>
      </c>
      <c r="N5" s="4">
        <v>1169527</v>
      </c>
      <c r="O5" s="4">
        <v>40933445</v>
      </c>
      <c r="P5" s="4">
        <v>3992188</v>
      </c>
      <c r="Q5" s="17">
        <f t="shared" ref="Q5:Q17" si="1">O5/P5</f>
        <v>10.253386113078843</v>
      </c>
      <c r="R5" s="4">
        <v>1848000</v>
      </c>
      <c r="S5" s="4">
        <v>0</v>
      </c>
      <c r="T5" s="4">
        <v>323471</v>
      </c>
      <c r="U5" s="4">
        <f t="shared" ref="U5:U16" si="2">O5+R5+S5+T5</f>
        <v>43104916</v>
      </c>
      <c r="V5" s="5">
        <f t="shared" ref="V5:V17" si="3">IFERROR(U5/P5,0)</f>
        <v>10.797316158457468</v>
      </c>
      <c r="W5" s="6">
        <f t="shared" ref="W5:W17" si="4">IFERROR(N5/P5,0)</f>
        <v>0.29295388894510982</v>
      </c>
      <c r="X5" s="5">
        <f t="shared" ref="X5:X16" si="5">U5/1000000</f>
        <v>43.104916000000003</v>
      </c>
      <c r="Y5" s="4">
        <f>U5-J5</f>
        <v>3283545</v>
      </c>
      <c r="Z5" s="5">
        <f t="shared" ref="Z5:Z16" si="6">V5-K5</f>
        <v>-5.7015831655977678E-3</v>
      </c>
      <c r="AA5" s="6">
        <f t="shared" ref="AA5:AA16" si="7">W5-L5</f>
        <v>1.9723348290630605E-3</v>
      </c>
    </row>
    <row r="6" spans="1:29" x14ac:dyDescent="0.25">
      <c r="A6" s="2" t="s">
        <v>28</v>
      </c>
      <c r="B6" s="3" t="s">
        <v>29</v>
      </c>
      <c r="C6" s="4">
        <v>1110275</v>
      </c>
      <c r="D6" s="4">
        <v>38859625</v>
      </c>
      <c r="E6" s="4">
        <v>3823863.6</v>
      </c>
      <c r="F6" s="17">
        <f t="shared" ref="F6:F17" si="8">D6/E6</f>
        <v>10.162398313580013</v>
      </c>
      <c r="G6" s="4">
        <v>1850000</v>
      </c>
      <c r="H6" s="4">
        <v>0</v>
      </c>
      <c r="I6" s="4">
        <v>513250</v>
      </c>
      <c r="J6" s="4">
        <f t="shared" ref="J6:J16" si="9">D6+G6+H6+I6</f>
        <v>41222875</v>
      </c>
      <c r="K6" s="16">
        <f t="shared" ref="K6:K17" si="10">IFERROR(J6/E6,0)</f>
        <v>10.780425065371055</v>
      </c>
      <c r="L6" s="6">
        <f t="shared" si="0"/>
        <v>0.29035423753085754</v>
      </c>
      <c r="M6" s="5">
        <f t="shared" ref="M6:M16" si="11">J6/1000000</f>
        <v>41.222875000000002</v>
      </c>
      <c r="N6" s="4">
        <v>1082391</v>
      </c>
      <c r="O6" s="4">
        <v>37883685</v>
      </c>
      <c r="P6" s="4">
        <v>3716275.5</v>
      </c>
      <c r="Q6" s="17">
        <f t="shared" si="1"/>
        <v>10.193992614379638</v>
      </c>
      <c r="R6" s="4">
        <v>1848000</v>
      </c>
      <c r="S6" s="4">
        <v>379023.74</v>
      </c>
      <c r="T6" s="4">
        <v>370779</v>
      </c>
      <c r="U6" s="4">
        <f t="shared" si="2"/>
        <v>40481487.740000002</v>
      </c>
      <c r="V6" s="5">
        <f t="shared" si="3"/>
        <v>10.893026563827144</v>
      </c>
      <c r="W6" s="6">
        <f t="shared" si="4"/>
        <v>0.29125693183941825</v>
      </c>
      <c r="X6" s="5">
        <f t="shared" si="5"/>
        <v>40.481487739999999</v>
      </c>
      <c r="Y6" s="4">
        <f t="shared" ref="Y6:Y15" si="12">U6-J6</f>
        <v>-741387.25999999791</v>
      </c>
      <c r="Z6" s="5">
        <f t="shared" si="6"/>
        <v>0.11260149845608858</v>
      </c>
      <c r="AA6" s="6">
        <f t="shared" si="7"/>
        <v>9.026943085607142E-4</v>
      </c>
    </row>
    <row r="7" spans="1:29" x14ac:dyDescent="0.25">
      <c r="A7" s="2" t="s">
        <v>30</v>
      </c>
      <c r="B7" s="3" t="s">
        <v>31</v>
      </c>
      <c r="C7" s="4">
        <v>1352019</v>
      </c>
      <c r="D7" s="4">
        <v>47320665</v>
      </c>
      <c r="E7" s="4">
        <v>4647498.6500000004</v>
      </c>
      <c r="F7" s="17">
        <f t="shared" si="8"/>
        <v>10.181964227143991</v>
      </c>
      <c r="G7" s="4">
        <v>1850000</v>
      </c>
      <c r="H7" s="4">
        <v>0</v>
      </c>
      <c r="I7" s="4">
        <v>484291</v>
      </c>
      <c r="J7" s="4">
        <f t="shared" si="9"/>
        <v>49654956</v>
      </c>
      <c r="K7" s="16">
        <f t="shared" si="10"/>
        <v>10.684232474171885</v>
      </c>
      <c r="L7" s="6">
        <f t="shared" si="0"/>
        <v>0.29091326363268549</v>
      </c>
      <c r="M7" s="5">
        <f t="shared" si="11"/>
        <v>49.654955999999999</v>
      </c>
      <c r="N7" s="4">
        <v>1334871</v>
      </c>
      <c r="O7" s="4">
        <v>46720485</v>
      </c>
      <c r="P7" s="4">
        <v>4670596.9400000004</v>
      </c>
      <c r="Q7" s="17">
        <f t="shared" si="1"/>
        <v>10.003107868263195</v>
      </c>
      <c r="R7" s="4">
        <v>1848000</v>
      </c>
      <c r="S7" s="4">
        <v>299.60000000000002</v>
      </c>
      <c r="T7" s="4">
        <v>321161</v>
      </c>
      <c r="U7" s="4">
        <f t="shared" si="2"/>
        <v>48889945.600000001</v>
      </c>
      <c r="V7" s="5">
        <f t="shared" si="3"/>
        <v>10.467601085697623</v>
      </c>
      <c r="W7" s="6">
        <f>IFERROR(N7/P7,0)</f>
        <v>0.28580308195037696</v>
      </c>
      <c r="X7" s="5">
        <f t="shared" si="5"/>
        <v>48.889945600000004</v>
      </c>
      <c r="Y7" s="4">
        <f t="shared" si="12"/>
        <v>-765010.39999999851</v>
      </c>
      <c r="Z7" s="5">
        <f t="shared" si="6"/>
        <v>-0.21663138847426211</v>
      </c>
      <c r="AA7" s="6">
        <f t="shared" si="7"/>
        <v>-5.1101816823085344E-3</v>
      </c>
    </row>
    <row r="8" spans="1:29" x14ac:dyDescent="0.25">
      <c r="A8" s="2" t="s">
        <v>32</v>
      </c>
      <c r="B8" s="3" t="s">
        <v>33</v>
      </c>
      <c r="C8" s="4">
        <v>1423929</v>
      </c>
      <c r="D8" s="4">
        <v>49837515</v>
      </c>
      <c r="E8" s="4">
        <v>4892890.5</v>
      </c>
      <c r="F8" s="17">
        <f t="shared" si="8"/>
        <v>10.185700047855148</v>
      </c>
      <c r="G8" s="4">
        <v>1850000</v>
      </c>
      <c r="H8" s="4">
        <v>20000</v>
      </c>
      <c r="I8" s="4">
        <v>525955</v>
      </c>
      <c r="J8" s="4">
        <f t="shared" si="9"/>
        <v>52233470</v>
      </c>
      <c r="K8" s="16">
        <f t="shared" si="10"/>
        <v>10.675380943023352</v>
      </c>
      <c r="L8" s="6">
        <f>IFERROR(C8/E8,0)</f>
        <v>0.29102000136728995</v>
      </c>
      <c r="M8" s="5">
        <f t="shared" si="11"/>
        <v>52.233469999999997</v>
      </c>
      <c r="N8" s="4">
        <v>1375203</v>
      </c>
      <c r="O8" s="4">
        <v>48132105</v>
      </c>
      <c r="P8" s="4">
        <v>4630957.3</v>
      </c>
      <c r="Q8" s="17">
        <f t="shared" si="1"/>
        <v>10.393554049828964</v>
      </c>
      <c r="R8" s="4">
        <v>1848000</v>
      </c>
      <c r="S8" s="4">
        <v>87381</v>
      </c>
      <c r="T8" s="4">
        <v>359561</v>
      </c>
      <c r="U8" s="4">
        <f t="shared" si="2"/>
        <v>50427047</v>
      </c>
      <c r="V8" s="5">
        <f t="shared" si="3"/>
        <v>10.889119405182164</v>
      </c>
      <c r="W8" s="6">
        <f t="shared" si="4"/>
        <v>0.29695868713797036</v>
      </c>
      <c r="X8" s="5">
        <f t="shared" si="5"/>
        <v>50.427047000000002</v>
      </c>
      <c r="Y8" s="4">
        <f t="shared" si="12"/>
        <v>-1806423</v>
      </c>
      <c r="Z8" s="5">
        <f t="shared" si="6"/>
        <v>0.21373846215881187</v>
      </c>
      <c r="AA8" s="6">
        <f t="shared" si="7"/>
        <v>5.9386857706804075E-3</v>
      </c>
    </row>
    <row r="9" spans="1:29" x14ac:dyDescent="0.25">
      <c r="A9" s="2" t="s">
        <v>34</v>
      </c>
      <c r="B9" s="3" t="s">
        <v>35</v>
      </c>
      <c r="C9" s="4">
        <v>1338059</v>
      </c>
      <c r="D9" s="4">
        <v>46832065</v>
      </c>
      <c r="E9" s="4">
        <v>4595579.42</v>
      </c>
      <c r="F9" s="17">
        <f t="shared" si="8"/>
        <v>10.19067689183794</v>
      </c>
      <c r="G9" s="4">
        <v>1850000</v>
      </c>
      <c r="H9" s="4">
        <v>0</v>
      </c>
      <c r="I9" s="4">
        <v>544185</v>
      </c>
      <c r="J9" s="4">
        <f t="shared" si="9"/>
        <v>49226250</v>
      </c>
      <c r="K9" s="16">
        <f t="shared" si="10"/>
        <v>10.711652547177609</v>
      </c>
      <c r="L9" s="6">
        <f t="shared" si="0"/>
        <v>0.29116219690965539</v>
      </c>
      <c r="M9" s="5">
        <f t="shared" si="11"/>
        <v>49.22625</v>
      </c>
      <c r="N9" s="4">
        <v>1245931</v>
      </c>
      <c r="O9" s="4">
        <v>43607585</v>
      </c>
      <c r="P9" s="4">
        <v>4301887</v>
      </c>
      <c r="Q9" s="17">
        <f t="shared" si="1"/>
        <v>10.136850410064234</v>
      </c>
      <c r="R9" s="4">
        <v>1848000</v>
      </c>
      <c r="S9" s="4">
        <v>20650</v>
      </c>
      <c r="T9" s="4">
        <v>331897</v>
      </c>
      <c r="U9" s="4">
        <f t="shared" si="2"/>
        <v>45808132</v>
      </c>
      <c r="V9" s="5">
        <f t="shared" si="3"/>
        <v>10.648381047665827</v>
      </c>
      <c r="W9" s="6">
        <f t="shared" si="4"/>
        <v>0.28962429743040669</v>
      </c>
      <c r="X9" s="5">
        <f t="shared" si="5"/>
        <v>45.808132000000001</v>
      </c>
      <c r="Y9" s="4">
        <f t="shared" si="12"/>
        <v>-3418118</v>
      </c>
      <c r="Z9" s="5">
        <f t="shared" si="6"/>
        <v>-6.327149951178157E-2</v>
      </c>
      <c r="AA9" s="6">
        <f t="shared" si="7"/>
        <v>-1.5378994792487055E-3</v>
      </c>
    </row>
    <row r="10" spans="1:29" x14ac:dyDescent="0.25">
      <c r="A10" s="2" t="s">
        <v>36</v>
      </c>
      <c r="B10" s="3" t="s">
        <v>37</v>
      </c>
      <c r="C10" s="4">
        <v>1130109</v>
      </c>
      <c r="D10" s="4">
        <v>39553815</v>
      </c>
      <c r="E10" s="4">
        <v>3894982</v>
      </c>
      <c r="F10" s="17">
        <f t="shared" si="8"/>
        <v>10.155070036267176</v>
      </c>
      <c r="G10" s="4">
        <v>1850000</v>
      </c>
      <c r="H10" s="4">
        <v>36016</v>
      </c>
      <c r="I10" s="4">
        <v>563841</v>
      </c>
      <c r="J10" s="4">
        <f t="shared" si="9"/>
        <v>42003672</v>
      </c>
      <c r="K10" s="16">
        <f t="shared" si="10"/>
        <v>10.784047782505798</v>
      </c>
      <c r="L10" s="6">
        <f t="shared" si="0"/>
        <v>0.29014485817906221</v>
      </c>
      <c r="M10" s="5">
        <f t="shared" si="11"/>
        <v>42.003672000000002</v>
      </c>
      <c r="N10" s="4">
        <v>1134880</v>
      </c>
      <c r="O10" s="4">
        <v>39720800</v>
      </c>
      <c r="P10" s="4">
        <v>3939876.7</v>
      </c>
      <c r="Q10" s="17">
        <f t="shared" si="1"/>
        <v>10.081736821865515</v>
      </c>
      <c r="R10" s="4">
        <v>1848000</v>
      </c>
      <c r="S10" s="4">
        <v>6715</v>
      </c>
      <c r="T10" s="4">
        <v>427853</v>
      </c>
      <c r="U10" s="4">
        <f t="shared" si="2"/>
        <v>42003368</v>
      </c>
      <c r="V10" s="5">
        <f t="shared" si="3"/>
        <v>10.661086931984444</v>
      </c>
      <c r="W10" s="6">
        <f t="shared" si="4"/>
        <v>0.28804962348187191</v>
      </c>
      <c r="X10" s="5">
        <f t="shared" si="5"/>
        <v>42.003368000000002</v>
      </c>
      <c r="Y10" s="4">
        <f t="shared" si="12"/>
        <v>-304</v>
      </c>
      <c r="Z10" s="5">
        <f t="shared" si="6"/>
        <v>-0.12296085052135375</v>
      </c>
      <c r="AA10" s="6">
        <f t="shared" si="7"/>
        <v>-2.0952346971903069E-3</v>
      </c>
    </row>
    <row r="11" spans="1:29" x14ac:dyDescent="0.25">
      <c r="A11" s="2" t="s">
        <v>38</v>
      </c>
      <c r="B11" s="3" t="s">
        <v>39</v>
      </c>
      <c r="C11" s="4">
        <v>1237505</v>
      </c>
      <c r="D11" s="4">
        <v>43312675</v>
      </c>
      <c r="E11" s="4">
        <v>4260420.9000000004</v>
      </c>
      <c r="F11" s="17">
        <f t="shared" si="8"/>
        <v>10.166290142835416</v>
      </c>
      <c r="G11" s="4">
        <v>1849000</v>
      </c>
      <c r="H11" s="4">
        <v>83883</v>
      </c>
      <c r="I11" s="4">
        <v>515374</v>
      </c>
      <c r="J11" s="4">
        <f t="shared" si="9"/>
        <v>45760932</v>
      </c>
      <c r="K11" s="16">
        <f t="shared" si="10"/>
        <v>10.740941581616971</v>
      </c>
      <c r="L11" s="6">
        <f t="shared" si="0"/>
        <v>0.29046543265244051</v>
      </c>
      <c r="M11" s="5">
        <f t="shared" si="11"/>
        <v>45.760931999999997</v>
      </c>
      <c r="N11" s="4">
        <v>1152470</v>
      </c>
      <c r="O11" s="4">
        <v>40336450</v>
      </c>
      <c r="P11" s="4">
        <v>3883957.5</v>
      </c>
      <c r="Q11" s="17">
        <f t="shared" si="1"/>
        <v>10.385399428289317</v>
      </c>
      <c r="R11" s="4">
        <v>1848000</v>
      </c>
      <c r="S11" s="4">
        <v>179</v>
      </c>
      <c r="T11" s="4">
        <v>447003</v>
      </c>
      <c r="U11" s="4">
        <f t="shared" si="2"/>
        <v>42631632</v>
      </c>
      <c r="V11" s="5">
        <f t="shared" si="3"/>
        <v>10.976338438306804</v>
      </c>
      <c r="W11" s="6">
        <f t="shared" si="4"/>
        <v>0.2967256979511233</v>
      </c>
      <c r="X11" s="5">
        <f t="shared" si="5"/>
        <v>42.631632000000003</v>
      </c>
      <c r="Y11" s="4">
        <f t="shared" si="12"/>
        <v>-3129300</v>
      </c>
      <c r="Z11" s="5">
        <f t="shared" si="6"/>
        <v>0.23539685668983346</v>
      </c>
      <c r="AA11" s="6">
        <f t="shared" si="7"/>
        <v>6.2602652986827878E-3</v>
      </c>
    </row>
    <row r="12" spans="1:29" x14ac:dyDescent="0.25">
      <c r="A12" s="2" t="s">
        <v>40</v>
      </c>
      <c r="B12" s="3" t="s">
        <v>41</v>
      </c>
      <c r="C12" s="4">
        <v>1355800</v>
      </c>
      <c r="D12" s="4">
        <v>47453000</v>
      </c>
      <c r="E12" s="4">
        <v>5011388.9000000004</v>
      </c>
      <c r="F12" s="17">
        <f t="shared" si="8"/>
        <v>9.4690316291357863</v>
      </c>
      <c r="G12" s="4">
        <v>1849000</v>
      </c>
      <c r="H12" s="4">
        <v>13000</v>
      </c>
      <c r="I12" s="4">
        <v>533843</v>
      </c>
      <c r="J12" s="4">
        <f t="shared" si="9"/>
        <v>49848843</v>
      </c>
      <c r="K12" s="16">
        <f t="shared" si="10"/>
        <v>9.9471112688939378</v>
      </c>
      <c r="L12" s="6">
        <f t="shared" si="0"/>
        <v>0.27054376083245102</v>
      </c>
      <c r="M12" s="5">
        <f t="shared" si="11"/>
        <v>49.848843000000002</v>
      </c>
      <c r="N12" s="4">
        <v>1056446.81</v>
      </c>
      <c r="O12" s="4">
        <v>36975638.350000001</v>
      </c>
      <c r="P12" s="4">
        <v>3768636.1</v>
      </c>
      <c r="Q12" s="17">
        <f t="shared" si="1"/>
        <v>9.8114111760485443</v>
      </c>
      <c r="R12" s="4">
        <v>1848000</v>
      </c>
      <c r="S12" s="4">
        <v>65820</v>
      </c>
      <c r="T12" s="4">
        <v>389529</v>
      </c>
      <c r="U12" s="4">
        <f t="shared" si="2"/>
        <v>39278987.350000001</v>
      </c>
      <c r="V12" s="5">
        <f t="shared" si="3"/>
        <v>10.422600194802571</v>
      </c>
      <c r="W12" s="6">
        <f t="shared" si="4"/>
        <v>0.28032603360138697</v>
      </c>
      <c r="X12" s="5">
        <f t="shared" si="5"/>
        <v>39.278987350000001</v>
      </c>
      <c r="Y12" s="4">
        <f t="shared" si="12"/>
        <v>-10569855.649999999</v>
      </c>
      <c r="Z12" s="5">
        <f t="shared" si="6"/>
        <v>0.47548892590863368</v>
      </c>
      <c r="AA12" s="6">
        <f t="shared" si="7"/>
        <v>9.7822727689359512E-3</v>
      </c>
    </row>
    <row r="13" spans="1:29" x14ac:dyDescent="0.25">
      <c r="A13" s="2" t="s">
        <v>42</v>
      </c>
      <c r="B13" s="3" t="s">
        <v>43</v>
      </c>
      <c r="C13" s="4">
        <v>1096326</v>
      </c>
      <c r="D13" s="4">
        <v>38371410</v>
      </c>
      <c r="E13" s="4">
        <v>3744024.9</v>
      </c>
      <c r="F13" s="17">
        <f t="shared" si="8"/>
        <v>10.248705877997766</v>
      </c>
      <c r="G13" s="4">
        <v>1849000</v>
      </c>
      <c r="H13" s="4">
        <v>86640</v>
      </c>
      <c r="I13" s="4">
        <v>403001</v>
      </c>
      <c r="J13" s="4">
        <f t="shared" si="9"/>
        <v>40710051</v>
      </c>
      <c r="K13" s="16">
        <f t="shared" si="10"/>
        <v>10.873338743019579</v>
      </c>
      <c r="L13" s="6">
        <f t="shared" si="0"/>
        <v>0.29282016794279336</v>
      </c>
      <c r="M13" s="5">
        <f t="shared" si="11"/>
        <v>40.710051</v>
      </c>
      <c r="N13" s="4">
        <v>689541</v>
      </c>
      <c r="O13" s="4">
        <v>24133935</v>
      </c>
      <c r="P13" s="4">
        <v>2437076.9</v>
      </c>
      <c r="Q13" s="17">
        <f t="shared" si="1"/>
        <v>9.9028204649594773</v>
      </c>
      <c r="R13" s="4">
        <v>1848000</v>
      </c>
      <c r="S13" s="4">
        <v>89000</v>
      </c>
      <c r="T13" s="4">
        <v>437840</v>
      </c>
      <c r="U13" s="4">
        <f t="shared" si="2"/>
        <v>26508775</v>
      </c>
      <c r="V13" s="5">
        <f t="shared" si="3"/>
        <v>10.87728294499037</v>
      </c>
      <c r="W13" s="6">
        <f t="shared" si="4"/>
        <v>0.28293772757027075</v>
      </c>
      <c r="X13" s="5">
        <f t="shared" si="5"/>
        <v>26.508775</v>
      </c>
      <c r="Y13" s="4">
        <f t="shared" si="12"/>
        <v>-14201276</v>
      </c>
      <c r="Z13" s="5">
        <f t="shared" si="6"/>
        <v>3.9442019707909282E-3</v>
      </c>
      <c r="AA13" s="6">
        <f t="shared" si="7"/>
        <v>-9.8824403725226162E-3</v>
      </c>
    </row>
    <row r="14" spans="1:29" x14ac:dyDescent="0.25">
      <c r="A14" s="2" t="s">
        <v>44</v>
      </c>
      <c r="B14" s="3" t="s">
        <v>45</v>
      </c>
      <c r="C14" s="4">
        <v>1050478</v>
      </c>
      <c r="D14" s="4">
        <v>36766730</v>
      </c>
      <c r="E14" s="4">
        <v>3708245.9</v>
      </c>
      <c r="F14" s="17">
        <f t="shared" si="8"/>
        <v>9.914857588058009</v>
      </c>
      <c r="G14" s="4">
        <v>1849000</v>
      </c>
      <c r="H14" s="4">
        <v>6430</v>
      </c>
      <c r="I14" s="4">
        <v>357345</v>
      </c>
      <c r="J14" s="4">
        <f t="shared" si="9"/>
        <v>38979505</v>
      </c>
      <c r="K14" s="16">
        <f t="shared" si="10"/>
        <v>10.511575027966726</v>
      </c>
      <c r="L14" s="6">
        <f t="shared" si="0"/>
        <v>0.28328164537308598</v>
      </c>
      <c r="M14" s="5">
        <f t="shared" si="11"/>
        <v>38.979505000000003</v>
      </c>
      <c r="N14" s="4">
        <v>580650</v>
      </c>
      <c r="O14" s="4">
        <v>20322750</v>
      </c>
      <c r="P14" s="4">
        <v>2009742.7</v>
      </c>
      <c r="Q14" s="17">
        <f t="shared" si="1"/>
        <v>10.112115346904856</v>
      </c>
      <c r="R14" s="4">
        <v>1848000</v>
      </c>
      <c r="S14" s="4">
        <v>0</v>
      </c>
      <c r="T14" s="4">
        <v>0</v>
      </c>
      <c r="U14" s="4">
        <f t="shared" si="2"/>
        <v>22170750</v>
      </c>
      <c r="V14" s="5">
        <f t="shared" si="3"/>
        <v>11.031636039777629</v>
      </c>
      <c r="W14" s="6">
        <f t="shared" si="4"/>
        <v>0.28891758134013873</v>
      </c>
      <c r="X14" s="5">
        <f t="shared" si="5"/>
        <v>22.170750000000002</v>
      </c>
      <c r="Y14" s="4">
        <f t="shared" si="12"/>
        <v>-16808755</v>
      </c>
      <c r="Z14" s="5">
        <f t="shared" si="6"/>
        <v>0.52006101181090258</v>
      </c>
      <c r="AA14" s="6">
        <f t="shared" si="7"/>
        <v>5.635935967052752E-3</v>
      </c>
    </row>
    <row r="15" spans="1:29" x14ac:dyDescent="0.25">
      <c r="A15" s="2" t="s">
        <v>46</v>
      </c>
      <c r="B15" s="3" t="s">
        <v>47</v>
      </c>
      <c r="C15" s="4">
        <v>978803</v>
      </c>
      <c r="D15" s="4">
        <v>34258105</v>
      </c>
      <c r="E15" s="4">
        <v>3285198.5</v>
      </c>
      <c r="F15" s="17">
        <f t="shared" si="8"/>
        <v>10.428016754543142</v>
      </c>
      <c r="G15" s="4">
        <v>1849000</v>
      </c>
      <c r="H15" s="4">
        <v>40460</v>
      </c>
      <c r="I15" s="4">
        <v>405798</v>
      </c>
      <c r="J15" s="4">
        <f t="shared" si="9"/>
        <v>36553363</v>
      </c>
      <c r="K15" s="16">
        <f t="shared" si="10"/>
        <v>11.126683212597351</v>
      </c>
      <c r="L15" s="6">
        <f t="shared" si="0"/>
        <v>0.29794333584408977</v>
      </c>
      <c r="M15" s="5">
        <f t="shared" si="11"/>
        <v>36.553362999999997</v>
      </c>
      <c r="N15" s="4">
        <v>262273.42</v>
      </c>
      <c r="O15" s="4">
        <v>9179569.6999999993</v>
      </c>
      <c r="P15" s="4">
        <v>911185.7</v>
      </c>
      <c r="Q15" s="17">
        <f t="shared" si="1"/>
        <v>10.074312733397813</v>
      </c>
      <c r="R15" s="4">
        <v>1848000</v>
      </c>
      <c r="S15" s="4">
        <v>0</v>
      </c>
      <c r="T15" s="4">
        <v>0</v>
      </c>
      <c r="U15" s="4">
        <f t="shared" si="2"/>
        <v>11027569.699999999</v>
      </c>
      <c r="V15" s="5">
        <f t="shared" si="3"/>
        <v>12.102439382005226</v>
      </c>
      <c r="W15" s="6">
        <f t="shared" si="4"/>
        <v>0.28783750666850894</v>
      </c>
      <c r="X15" s="5">
        <f t="shared" si="5"/>
        <v>11.027569699999999</v>
      </c>
      <c r="Y15" s="4">
        <f t="shared" si="12"/>
        <v>-25525793.300000001</v>
      </c>
      <c r="Z15" s="5">
        <f t="shared" si="6"/>
        <v>0.97575616940787491</v>
      </c>
      <c r="AA15" s="6">
        <f t="shared" si="7"/>
        <v>-1.0105829175580838E-2</v>
      </c>
    </row>
    <row r="16" spans="1:29" x14ac:dyDescent="0.25">
      <c r="A16" s="2" t="s">
        <v>48</v>
      </c>
      <c r="B16" s="3" t="s">
        <v>49</v>
      </c>
      <c r="C16" s="4">
        <v>1046974</v>
      </c>
      <c r="D16" s="4">
        <v>36644090</v>
      </c>
      <c r="E16" s="4">
        <v>3600948.8</v>
      </c>
      <c r="F16" s="17">
        <f t="shared" si="8"/>
        <v>10.176231886440597</v>
      </c>
      <c r="G16" s="4">
        <v>1849000</v>
      </c>
      <c r="H16" s="4">
        <v>17645</v>
      </c>
      <c r="I16" s="4">
        <v>283965</v>
      </c>
      <c r="J16" s="4">
        <f t="shared" si="9"/>
        <v>38794700</v>
      </c>
      <c r="K16" s="16">
        <f t="shared" si="10"/>
        <v>10.773466148699477</v>
      </c>
      <c r="L16" s="6">
        <f t="shared" si="0"/>
        <v>0.29074948246973131</v>
      </c>
      <c r="M16" s="5">
        <f t="shared" si="11"/>
        <v>38.794699999999999</v>
      </c>
      <c r="N16" s="4">
        <v>321539</v>
      </c>
      <c r="O16" s="4">
        <v>11253865</v>
      </c>
      <c r="P16" s="4">
        <v>1115485.2</v>
      </c>
      <c r="Q16" s="17">
        <f t="shared" si="1"/>
        <v>10.088762271341656</v>
      </c>
      <c r="R16" s="4">
        <v>1848000</v>
      </c>
      <c r="S16" s="4">
        <v>0</v>
      </c>
      <c r="T16" s="4">
        <v>0</v>
      </c>
      <c r="U16" s="4">
        <f t="shared" si="2"/>
        <v>13101865</v>
      </c>
      <c r="V16" s="5">
        <f t="shared" si="3"/>
        <v>11.745440459452084</v>
      </c>
      <c r="W16" s="6">
        <f t="shared" si="4"/>
        <v>0.28825035060976156</v>
      </c>
      <c r="X16" s="5">
        <f t="shared" si="5"/>
        <v>13.101865</v>
      </c>
      <c r="Y16" s="4">
        <f>U16-J16</f>
        <v>-25692835</v>
      </c>
      <c r="Z16" s="5">
        <f t="shared" si="6"/>
        <v>0.9719743107526071</v>
      </c>
      <c r="AA16" s="6">
        <f t="shared" si="7"/>
        <v>-2.4991318599697498E-3</v>
      </c>
    </row>
    <row r="17" spans="1:27" x14ac:dyDescent="0.25">
      <c r="A17" s="7" t="s">
        <v>50</v>
      </c>
      <c r="B17" s="7" t="s">
        <v>51</v>
      </c>
      <c r="C17" s="8">
        <f t="shared" ref="C17:J17" si="13">SUM(C5:C16)</f>
        <v>14192874</v>
      </c>
      <c r="D17" s="15">
        <f t="shared" si="13"/>
        <v>496750590</v>
      </c>
      <c r="E17" s="8">
        <f t="shared" si="13"/>
        <v>49151176.069999993</v>
      </c>
      <c r="F17" s="17">
        <f t="shared" si="8"/>
        <v>10.10658604165522</v>
      </c>
      <c r="G17" s="15">
        <f t="shared" si="13"/>
        <v>22194000</v>
      </c>
      <c r="H17" s="15">
        <f t="shared" si="13"/>
        <v>325294</v>
      </c>
      <c r="I17" s="15">
        <f t="shared" si="13"/>
        <v>5540104</v>
      </c>
      <c r="J17" s="8">
        <f t="shared" si="13"/>
        <v>524809988</v>
      </c>
      <c r="K17" s="9">
        <f t="shared" si="10"/>
        <v>10.677465524987184</v>
      </c>
      <c r="L17" s="10">
        <f t="shared" si="0"/>
        <v>0.28875960119014915</v>
      </c>
      <c r="M17" s="9">
        <f t="shared" ref="M17:U17" si="14">SUM(M5:M16)</f>
        <v>524.80998800000009</v>
      </c>
      <c r="N17" s="8">
        <f t="shared" si="14"/>
        <v>11405723.23</v>
      </c>
      <c r="O17" s="8">
        <f>SUM(O5:O16)</f>
        <v>399200313.05000001</v>
      </c>
      <c r="P17" s="8">
        <f>SUM(P5:P16)</f>
        <v>39377865.540000014</v>
      </c>
      <c r="Q17" s="5">
        <f t="shared" si="1"/>
        <v>10.137682872742113</v>
      </c>
      <c r="R17" s="8">
        <f t="shared" si="14"/>
        <v>22176000</v>
      </c>
      <c r="S17" s="8">
        <f t="shared" si="14"/>
        <v>649068.34</v>
      </c>
      <c r="T17" s="8">
        <f t="shared" si="14"/>
        <v>3409094</v>
      </c>
      <c r="U17" s="8">
        <f t="shared" si="14"/>
        <v>425434475.39000005</v>
      </c>
      <c r="V17" s="9">
        <f t="shared" si="3"/>
        <v>10.803898828844442</v>
      </c>
      <c r="W17" s="10">
        <f>IFERROR(N17/P17,0)</f>
        <v>0.28964808207834608</v>
      </c>
      <c r="X17" s="9">
        <f>SUM(X5:X16)</f>
        <v>425.4344753900001</v>
      </c>
      <c r="Y17" s="8">
        <f>SUM(Y5:Y16)</f>
        <v>-99375512.609999999</v>
      </c>
      <c r="Z17" s="9">
        <f>V17-K17</f>
        <v>0.12643330385725804</v>
      </c>
      <c r="AA17" s="10">
        <f>W17-L17</f>
        <v>8.8848088819692972E-4</v>
      </c>
    </row>
    <row r="19" spans="1:27" x14ac:dyDescent="0.25">
      <c r="E19" s="18" t="s">
        <v>75</v>
      </c>
      <c r="F19" s="19">
        <f>AVERAGE(F5:F16)</f>
        <v>10.121941482479718</v>
      </c>
      <c r="L19" s="30">
        <f>AVERAGE(L5:L16)</f>
        <v>0.28919832807084905</v>
      </c>
      <c r="P19" s="18" t="s">
        <v>75</v>
      </c>
      <c r="Q19" s="19">
        <f>AVERAGE(Q5:Q16)</f>
        <v>10.119787441535172</v>
      </c>
      <c r="W19" s="30">
        <f>AVERAGE(W5:W16)</f>
        <v>0.28913678404386206</v>
      </c>
    </row>
    <row r="20" spans="1:27" ht="30" x14ac:dyDescent="0.25">
      <c r="E20" s="13" t="s">
        <v>5</v>
      </c>
      <c r="F20" s="13" t="s">
        <v>76</v>
      </c>
      <c r="G20" s="13" t="s">
        <v>80</v>
      </c>
      <c r="H20" s="21" t="s">
        <v>79</v>
      </c>
      <c r="I20" s="21" t="s">
        <v>78</v>
      </c>
      <c r="J20" s="21" t="s">
        <v>77</v>
      </c>
      <c r="P20" s="14" t="s">
        <v>15</v>
      </c>
      <c r="Q20" s="14" t="s">
        <v>76</v>
      </c>
      <c r="R20" s="14" t="s">
        <v>80</v>
      </c>
      <c r="S20" s="23" t="s">
        <v>79</v>
      </c>
      <c r="T20" s="23" t="s">
        <v>78</v>
      </c>
      <c r="U20" s="23" t="s">
        <v>77</v>
      </c>
    </row>
    <row r="21" spans="1:27" x14ac:dyDescent="0.25">
      <c r="E21" s="4">
        <v>3686134</v>
      </c>
      <c r="F21" s="17">
        <f>F19</f>
        <v>10.121941482479718</v>
      </c>
      <c r="G21" s="20">
        <f>E21*F21</f>
        <v>37310832.644578896</v>
      </c>
      <c r="H21" s="22">
        <f>D5-G21</f>
        <v>230062.35542110354</v>
      </c>
      <c r="I21">
        <f>ABS(H21)</f>
        <v>230062.35542110354</v>
      </c>
      <c r="J21" s="24">
        <f>IF(D5=0,"",I21/D5)*100</f>
        <v>0.61283130149428655</v>
      </c>
      <c r="K21" s="25" t="s">
        <v>81</v>
      </c>
      <c r="L21" s="25">
        <f>(D17+O17)/(E17+P17)</f>
        <v>10.120417964050292</v>
      </c>
      <c r="P21" s="4">
        <v>3992188</v>
      </c>
      <c r="Q21" s="17">
        <f>Q19</f>
        <v>10.119787441535172</v>
      </c>
      <c r="R21" s="20">
        <f>P21*Q21</f>
        <v>40400093.986647412</v>
      </c>
      <c r="S21" s="22">
        <f>O5-R21</f>
        <v>533351.01335258782</v>
      </c>
      <c r="T21">
        <f>ABS(S21)</f>
        <v>533351.01335258782</v>
      </c>
      <c r="U21" s="24">
        <f>IF(O5=0,"",T21/O5)*100</f>
        <v>1.3029712337981516</v>
      </c>
      <c r="V21" s="22"/>
    </row>
    <row r="22" spans="1:27" x14ac:dyDescent="0.25">
      <c r="E22" s="4">
        <v>3823863.6</v>
      </c>
      <c r="F22" s="17">
        <f>F21</f>
        <v>10.121941482479718</v>
      </c>
      <c r="G22" s="20">
        <f t="shared" ref="G22:G33" si="15">E22*F22</f>
        <v>38704923.596184231</v>
      </c>
      <c r="H22" s="22">
        <f t="shared" ref="H22:H33" si="16">D6-G22</f>
        <v>154701.40381576866</v>
      </c>
      <c r="I22">
        <f t="shared" ref="I22:I33" si="17">ABS(H22)</f>
        <v>154701.40381576866</v>
      </c>
      <c r="J22" s="24">
        <f t="shared" ref="J22:J33" si="18">IF(D6=0,"",I22/D6)*100</f>
        <v>0.39810318245677528</v>
      </c>
      <c r="P22" s="4">
        <v>3716275.5</v>
      </c>
      <c r="Q22" s="17">
        <f>Q21</f>
        <v>10.119787441535172</v>
      </c>
      <c r="R22" s="20">
        <f t="shared" ref="R22:R33" si="19">P22*Q22</f>
        <v>37607918.134184837</v>
      </c>
      <c r="S22" s="22">
        <f t="shared" ref="S22:S33" si="20">O6-R22</f>
        <v>275766.86581516266</v>
      </c>
      <c r="T22">
        <f t="shared" ref="T22:T33" si="21">ABS(S22)</f>
        <v>275766.86581516266</v>
      </c>
      <c r="U22" s="24">
        <f t="shared" ref="U22:U33" si="22">IF(O6=0,"",T22/O6)*100</f>
        <v>0.72793041599612784</v>
      </c>
      <c r="V22" s="22"/>
    </row>
    <row r="23" spans="1:27" x14ac:dyDescent="0.25">
      <c r="E23" s="4">
        <v>4647498.6500000004</v>
      </c>
      <c r="F23" s="17">
        <f>F22</f>
        <v>10.121941482479718</v>
      </c>
      <c r="G23" s="20">
        <f t="shared" si="15"/>
        <v>47041709.37520349</v>
      </c>
      <c r="H23" s="22">
        <f t="shared" si="16"/>
        <v>278955.62479650974</v>
      </c>
      <c r="I23">
        <f t="shared" si="17"/>
        <v>278955.62479650974</v>
      </c>
      <c r="J23" s="24">
        <f t="shared" si="18"/>
        <v>0.58950064373886069</v>
      </c>
      <c r="P23" s="4">
        <v>4670596.9400000004</v>
      </c>
      <c r="Q23" s="17">
        <f t="shared" ref="Q23:Q33" si="23">Q22</f>
        <v>10.119787441535172</v>
      </c>
      <c r="R23" s="20">
        <f>P23*Q23</f>
        <v>47265448.257884607</v>
      </c>
      <c r="S23" s="22">
        <f t="shared" si="20"/>
        <v>-544963.25788460672</v>
      </c>
      <c r="T23">
        <f t="shared" si="21"/>
        <v>544963.25788460672</v>
      </c>
      <c r="U23" s="24">
        <f t="shared" si="22"/>
        <v>1.1664332206410244</v>
      </c>
      <c r="V23" s="22"/>
    </row>
    <row r="24" spans="1:27" x14ac:dyDescent="0.25">
      <c r="E24" s="4">
        <v>4892890.5</v>
      </c>
      <c r="F24" s="17">
        <f t="shared" ref="F24:F33" si="24">F23</f>
        <v>10.121941482479718</v>
      </c>
      <c r="G24" s="20">
        <f t="shared" si="15"/>
        <v>49525551.321180932</v>
      </c>
      <c r="H24" s="22">
        <f t="shared" si="16"/>
        <v>311963.67881906778</v>
      </c>
      <c r="I24">
        <f t="shared" si="17"/>
        <v>311963.67881906778</v>
      </c>
      <c r="J24" s="24">
        <f t="shared" si="18"/>
        <v>0.62596154487050115</v>
      </c>
      <c r="P24" s="4">
        <v>4630957.3</v>
      </c>
      <c r="Q24" s="17">
        <f t="shared" si="23"/>
        <v>10.119787441535172</v>
      </c>
      <c r="R24" s="20">
        <f t="shared" si="19"/>
        <v>46864303.526825622</v>
      </c>
      <c r="S24" s="22">
        <f t="shared" si="20"/>
        <v>1267801.4731743783</v>
      </c>
      <c r="T24">
        <f t="shared" si="21"/>
        <v>1267801.4731743783</v>
      </c>
      <c r="U24" s="24">
        <f t="shared" si="22"/>
        <v>2.6340037967888135</v>
      </c>
      <c r="V24" s="22"/>
    </row>
    <row r="25" spans="1:27" x14ac:dyDescent="0.25">
      <c r="E25" s="4">
        <v>4595579.42</v>
      </c>
      <c r="F25" s="17">
        <f t="shared" si="24"/>
        <v>10.121941482479718</v>
      </c>
      <c r="G25" s="20">
        <f t="shared" si="15"/>
        <v>46516185.967328079</v>
      </c>
      <c r="H25" s="22">
        <f t="shared" si="16"/>
        <v>315879.03267192096</v>
      </c>
      <c r="I25">
        <f t="shared" si="17"/>
        <v>315879.03267192096</v>
      </c>
      <c r="J25" s="24">
        <f t="shared" si="18"/>
        <v>0.67449306937868525</v>
      </c>
      <c r="P25" s="4">
        <v>4301887</v>
      </c>
      <c r="Q25" s="17">
        <f t="shared" si="23"/>
        <v>10.119787441535172</v>
      </c>
      <c r="R25" s="20">
        <f t="shared" si="19"/>
        <v>43534182.037503414</v>
      </c>
      <c r="S25" s="22">
        <f t="shared" si="20"/>
        <v>73402.962496586144</v>
      </c>
      <c r="T25">
        <f t="shared" si="21"/>
        <v>73402.962496586144</v>
      </c>
      <c r="U25" s="24">
        <f t="shared" si="22"/>
        <v>0.16832613522758977</v>
      </c>
      <c r="V25" s="22"/>
    </row>
    <row r="26" spans="1:27" x14ac:dyDescent="0.25">
      <c r="E26" s="4">
        <v>3894982</v>
      </c>
      <c r="F26" s="17">
        <f t="shared" si="24"/>
        <v>10.121941482479718</v>
      </c>
      <c r="G26" s="20">
        <f t="shared" si="15"/>
        <v>39424779.879311815</v>
      </c>
      <c r="H26" s="22">
        <f t="shared" si="16"/>
        <v>129035.1206881851</v>
      </c>
      <c r="I26">
        <f t="shared" si="17"/>
        <v>129035.1206881851</v>
      </c>
      <c r="J26" s="24">
        <f t="shared" si="18"/>
        <v>0.32622673865513374</v>
      </c>
      <c r="P26" s="4">
        <v>3939876.7</v>
      </c>
      <c r="Q26" s="17">
        <f t="shared" si="23"/>
        <v>10.119787441535172</v>
      </c>
      <c r="R26" s="20">
        <f t="shared" si="19"/>
        <v>39870714.749857038</v>
      </c>
      <c r="S26" s="22">
        <f t="shared" si="20"/>
        <v>-149914.74985703826</v>
      </c>
      <c r="T26">
        <f t="shared" si="21"/>
        <v>149914.74985703826</v>
      </c>
      <c r="U26" s="24">
        <f t="shared" si="22"/>
        <v>0.37742127514309448</v>
      </c>
      <c r="V26" s="22"/>
    </row>
    <row r="27" spans="1:27" x14ac:dyDescent="0.25">
      <c r="E27" s="4">
        <v>4260420.9000000004</v>
      </c>
      <c r="F27" s="17">
        <f t="shared" si="24"/>
        <v>10.121941482479718</v>
      </c>
      <c r="G27" s="20">
        <f t="shared" si="15"/>
        <v>43123731.04053358</v>
      </c>
      <c r="H27" s="22">
        <f t="shared" si="16"/>
        <v>188943.95946642011</v>
      </c>
      <c r="I27">
        <f t="shared" si="17"/>
        <v>188943.95946642011</v>
      </c>
      <c r="J27" s="24">
        <f t="shared" si="18"/>
        <v>0.4362324872948164</v>
      </c>
      <c r="P27" s="4">
        <v>3883957.5</v>
      </c>
      <c r="Q27" s="17">
        <f t="shared" si="23"/>
        <v>10.119787441535172</v>
      </c>
      <c r="R27" s="20">
        <f t="shared" si="19"/>
        <v>39304824.331956342</v>
      </c>
      <c r="S27" s="22">
        <f t="shared" si="20"/>
        <v>1031625.6680436581</v>
      </c>
      <c r="T27">
        <f t="shared" si="21"/>
        <v>1031625.6680436581</v>
      </c>
      <c r="U27" s="24">
        <f t="shared" si="22"/>
        <v>2.5575519611757063</v>
      </c>
      <c r="V27" s="22"/>
    </row>
    <row r="28" spans="1:27" x14ac:dyDescent="0.25">
      <c r="E28" s="4">
        <v>5011388.9000000004</v>
      </c>
      <c r="F28" s="17">
        <f t="shared" si="24"/>
        <v>10.121941482479718</v>
      </c>
      <c r="G28" s="20">
        <f t="shared" si="15"/>
        <v>50724985.19174841</v>
      </c>
      <c r="H28" s="22">
        <f t="shared" si="16"/>
        <v>-3271985.1917484105</v>
      </c>
      <c r="I28">
        <f t="shared" si="17"/>
        <v>3271985.1917484105</v>
      </c>
      <c r="J28" s="24">
        <f t="shared" si="18"/>
        <v>6.895212508689462</v>
      </c>
      <c r="P28" s="4">
        <v>3768636.1</v>
      </c>
      <c r="Q28" s="17">
        <f t="shared" si="23"/>
        <v>10.119787441535172</v>
      </c>
      <c r="R28" s="20">
        <f t="shared" si="19"/>
        <v>38137796.27649609</v>
      </c>
      <c r="S28" s="22">
        <f t="shared" si="20"/>
        <v>-1162157.9264960885</v>
      </c>
      <c r="T28">
        <f t="shared" si="21"/>
        <v>1162157.9264960885</v>
      </c>
      <c r="U28" s="24">
        <f t="shared" si="22"/>
        <v>3.1430368165532658</v>
      </c>
      <c r="V28" s="22"/>
    </row>
    <row r="29" spans="1:27" x14ac:dyDescent="0.25">
      <c r="E29" s="4">
        <v>3744024.9</v>
      </c>
      <c r="F29" s="17">
        <f t="shared" si="24"/>
        <v>10.121941482479718</v>
      </c>
      <c r="G29" s="20">
        <f t="shared" si="15"/>
        <v>37896800.946746975</v>
      </c>
      <c r="H29" s="22">
        <f t="shared" si="16"/>
        <v>474609.05325302482</v>
      </c>
      <c r="I29">
        <f t="shared" si="17"/>
        <v>474609.05325302482</v>
      </c>
      <c r="J29" s="24">
        <f t="shared" si="18"/>
        <v>1.2368819734615559</v>
      </c>
      <c r="P29" s="4">
        <v>2437076.9</v>
      </c>
      <c r="Q29" s="17">
        <f t="shared" si="23"/>
        <v>10.119787441535172</v>
      </c>
      <c r="R29" s="20">
        <f t="shared" si="19"/>
        <v>24662700.206675466</v>
      </c>
      <c r="S29" s="22">
        <f t="shared" si="20"/>
        <v>-528765.20667546615</v>
      </c>
      <c r="T29">
        <f t="shared" si="21"/>
        <v>528765.20667546615</v>
      </c>
      <c r="U29" s="24">
        <f t="shared" si="22"/>
        <v>2.1909614270340336</v>
      </c>
      <c r="V29" s="22"/>
    </row>
    <row r="30" spans="1:27" x14ac:dyDescent="0.25">
      <c r="E30" s="4">
        <v>3708245.9</v>
      </c>
      <c r="F30" s="17">
        <f t="shared" si="24"/>
        <v>10.121941482479718</v>
      </c>
      <c r="G30" s="20">
        <f t="shared" si="15"/>
        <v>37534648.002445333</v>
      </c>
      <c r="H30" s="22">
        <f t="shared" si="16"/>
        <v>-767918.00244533271</v>
      </c>
      <c r="I30">
        <f t="shared" si="17"/>
        <v>767918.00244533271</v>
      </c>
      <c r="J30" s="24">
        <f t="shared" si="18"/>
        <v>2.088621975479823</v>
      </c>
      <c r="P30" s="4">
        <v>2009742.7</v>
      </c>
      <c r="Q30" s="17">
        <f t="shared" si="23"/>
        <v>10.119787441535172</v>
      </c>
      <c r="R30" s="20">
        <f t="shared" si="19"/>
        <v>20338168.936176989</v>
      </c>
      <c r="S30" s="22">
        <f t="shared" si="20"/>
        <v>-15418.936176989228</v>
      </c>
      <c r="T30">
        <f t="shared" si="21"/>
        <v>15418.936176989228</v>
      </c>
      <c r="U30" s="24">
        <f t="shared" si="22"/>
        <v>7.5870323538838144E-2</v>
      </c>
      <c r="V30" s="22"/>
    </row>
    <row r="31" spans="1:27" x14ac:dyDescent="0.25">
      <c r="E31" s="4">
        <v>3285198.5</v>
      </c>
      <c r="F31" s="17">
        <f t="shared" si="24"/>
        <v>10.121941482479718</v>
      </c>
      <c r="G31" s="20">
        <f t="shared" si="15"/>
        <v>33252586.975330144</v>
      </c>
      <c r="H31" s="22">
        <f t="shared" si="16"/>
        <v>1005518.0246698558</v>
      </c>
      <c r="I31">
        <f t="shared" si="17"/>
        <v>1005518.0246698558</v>
      </c>
      <c r="J31" s="24">
        <f t="shared" si="18"/>
        <v>2.9351244754193377</v>
      </c>
      <c r="P31" s="4">
        <v>911185.7</v>
      </c>
      <c r="Q31" s="17">
        <f t="shared" si="23"/>
        <v>10.119787441535172</v>
      </c>
      <c r="R31" s="20">
        <f t="shared" si="19"/>
        <v>9221005.6037664339</v>
      </c>
      <c r="S31" s="22">
        <f t="shared" si="20"/>
        <v>-41435.90376643464</v>
      </c>
      <c r="T31">
        <f t="shared" si="21"/>
        <v>41435.90376643464</v>
      </c>
      <c r="U31" s="24">
        <f t="shared" si="22"/>
        <v>0.45139265913994464</v>
      </c>
      <c r="V31" s="22"/>
    </row>
    <row r="32" spans="1:27" x14ac:dyDescent="0.25">
      <c r="E32" s="4">
        <v>3600948.8</v>
      </c>
      <c r="F32" s="17">
        <f t="shared" si="24"/>
        <v>10.121941482479718</v>
      </c>
      <c r="G32" s="20">
        <f t="shared" si="15"/>
        <v>36448593.035005562</v>
      </c>
      <c r="H32" s="22">
        <f t="shared" si="16"/>
        <v>195496.96499443799</v>
      </c>
      <c r="I32">
        <f t="shared" si="17"/>
        <v>195496.96499443799</v>
      </c>
      <c r="J32" s="24">
        <f t="shared" si="18"/>
        <v>0.53350203264547702</v>
      </c>
      <c r="P32" s="4">
        <v>1115485.2</v>
      </c>
      <c r="Q32" s="17">
        <f t="shared" si="23"/>
        <v>10.119787441535172</v>
      </c>
      <c r="R32" s="20">
        <f t="shared" si="19"/>
        <v>11288473.118178349</v>
      </c>
      <c r="S32" s="22">
        <f t="shared" si="20"/>
        <v>-34608.118178348988</v>
      </c>
      <c r="T32">
        <f t="shared" si="21"/>
        <v>34608.118178348988</v>
      </c>
      <c r="U32" s="24">
        <f t="shared" si="22"/>
        <v>0.30752206622657186</v>
      </c>
      <c r="V32" s="22"/>
    </row>
    <row r="33" spans="5:22" x14ac:dyDescent="0.25">
      <c r="E33" s="8">
        <f t="shared" ref="E33" si="25">SUM(E21:E32)</f>
        <v>49151176.069999993</v>
      </c>
      <c r="F33" s="17">
        <f t="shared" si="24"/>
        <v>10.121941482479718</v>
      </c>
      <c r="G33" s="20">
        <f t="shared" si="15"/>
        <v>497505327.97559738</v>
      </c>
      <c r="H33" s="22">
        <f t="shared" si="16"/>
        <v>-754737.97559738159</v>
      </c>
      <c r="I33">
        <f t="shared" si="17"/>
        <v>754737.97559738159</v>
      </c>
      <c r="J33" s="24">
        <f t="shared" si="18"/>
        <v>0.15193499329258603</v>
      </c>
      <c r="P33" s="8">
        <f t="shared" ref="P33" si="26">SUM(P21:P32)</f>
        <v>39377865.540000014</v>
      </c>
      <c r="Q33" s="17">
        <f t="shared" si="23"/>
        <v>10.119787441535172</v>
      </c>
      <c r="R33" s="20">
        <f t="shared" si="19"/>
        <v>398495629.16615272</v>
      </c>
      <c r="S33" s="22">
        <f t="shared" si="20"/>
        <v>704683.88384729624</v>
      </c>
      <c r="T33">
        <f t="shared" si="21"/>
        <v>704683.88384729624</v>
      </c>
      <c r="U33" s="24">
        <f t="shared" si="22"/>
        <v>0.17652388057096396</v>
      </c>
      <c r="V33" s="22"/>
    </row>
    <row r="36" spans="5:22" ht="30" x14ac:dyDescent="0.25">
      <c r="E36" s="13" t="s">
        <v>10</v>
      </c>
      <c r="F36" s="13" t="s">
        <v>11</v>
      </c>
      <c r="G36" s="31" t="s">
        <v>82</v>
      </c>
      <c r="P36" s="14" t="s">
        <v>20</v>
      </c>
      <c r="Q36" s="14" t="s">
        <v>20</v>
      </c>
      <c r="R36" s="31" t="s">
        <v>82</v>
      </c>
    </row>
    <row r="37" spans="5:22" x14ac:dyDescent="0.25">
      <c r="E37" s="16">
        <f>K5</f>
        <v>10.803017741623066</v>
      </c>
      <c r="F37" s="6">
        <f>L5</f>
        <v>0.29098155411604676</v>
      </c>
      <c r="G37" s="20">
        <f>E37/F37</f>
        <v>37.126125655768199</v>
      </c>
      <c r="K37" s="25" t="s">
        <v>81</v>
      </c>
      <c r="L37" s="37">
        <f>AVERAGE(G51,R51)</f>
        <v>37.455222484904823</v>
      </c>
      <c r="P37" s="5">
        <f>V5</f>
        <v>10.797316158457468</v>
      </c>
      <c r="Q37" s="6">
        <f>W5</f>
        <v>0.29295388894510982</v>
      </c>
      <c r="R37">
        <f>P37/Q37</f>
        <v>36.856708737805967</v>
      </c>
    </row>
    <row r="38" spans="5:22" x14ac:dyDescent="0.25">
      <c r="E38" s="16">
        <f t="shared" ref="E38:E49" si="27">K6</f>
        <v>10.780425065371055</v>
      </c>
      <c r="F38" s="6">
        <f t="shared" ref="F38:F49" si="28">L6</f>
        <v>0.29035423753085754</v>
      </c>
      <c r="G38" s="20">
        <f t="shared" ref="G38:G49" si="29">E38/F38</f>
        <v>37.128526716354052</v>
      </c>
      <c r="P38" s="5">
        <f t="shared" ref="P38:P49" si="30">V6</f>
        <v>10.893026563827144</v>
      </c>
      <c r="Q38" s="6">
        <f t="shared" ref="Q38:Q49" si="31">W6</f>
        <v>0.29125693183941825</v>
      </c>
      <c r="R38">
        <f t="shared" ref="R38:R49" si="32">P38/Q38</f>
        <v>37.40005944247504</v>
      </c>
    </row>
    <row r="39" spans="5:22" x14ac:dyDescent="0.25">
      <c r="E39" s="16">
        <f t="shared" si="27"/>
        <v>10.684232474171885</v>
      </c>
      <c r="F39" s="6">
        <f t="shared" si="28"/>
        <v>0.29091326363268549</v>
      </c>
      <c r="G39" s="20">
        <f t="shared" si="29"/>
        <v>36.726522334375481</v>
      </c>
      <c r="P39" s="5">
        <f t="shared" si="30"/>
        <v>10.467601085697623</v>
      </c>
      <c r="Q39" s="6">
        <f t="shared" si="31"/>
        <v>0.28580308195037696</v>
      </c>
      <c r="R39">
        <f t="shared" si="32"/>
        <v>36.62522116369297</v>
      </c>
    </row>
    <row r="40" spans="5:22" x14ac:dyDescent="0.25">
      <c r="E40" s="16">
        <f t="shared" si="27"/>
        <v>10.675380943023352</v>
      </c>
      <c r="F40" s="6">
        <f t="shared" si="28"/>
        <v>0.29102000136728995</v>
      </c>
      <c r="G40" s="20">
        <f t="shared" si="29"/>
        <v>36.68263656404217</v>
      </c>
      <c r="K40" s="39" t="s">
        <v>81</v>
      </c>
      <c r="L40" s="38">
        <f>AVERAGE(L19,W19)</f>
        <v>0.28916755605735556</v>
      </c>
      <c r="P40" s="5">
        <f t="shared" si="30"/>
        <v>10.889119405182164</v>
      </c>
      <c r="Q40" s="6">
        <f t="shared" si="31"/>
        <v>0.29695868713797036</v>
      </c>
      <c r="R40">
        <f t="shared" si="32"/>
        <v>36.668802351361947</v>
      </c>
    </row>
    <row r="41" spans="5:22" x14ac:dyDescent="0.25">
      <c r="E41" s="16">
        <f t="shared" si="27"/>
        <v>10.711652547177609</v>
      </c>
      <c r="F41" s="6">
        <f t="shared" si="28"/>
        <v>0.29116219690965539</v>
      </c>
      <c r="G41" s="20">
        <f t="shared" si="29"/>
        <v>36.789297033987289</v>
      </c>
      <c r="P41" s="5">
        <f t="shared" si="30"/>
        <v>10.648381047665827</v>
      </c>
      <c r="Q41" s="6">
        <f t="shared" si="31"/>
        <v>0.28962429743040669</v>
      </c>
      <c r="R41">
        <f t="shared" si="32"/>
        <v>36.76618689156944</v>
      </c>
    </row>
    <row r="42" spans="5:22" x14ac:dyDescent="0.25">
      <c r="E42" s="16">
        <f t="shared" si="27"/>
        <v>10.784047782505798</v>
      </c>
      <c r="F42" s="6">
        <f t="shared" si="28"/>
        <v>0.29014485817906221</v>
      </c>
      <c r="G42" s="20">
        <f t="shared" si="29"/>
        <v>37.167805937303385</v>
      </c>
      <c r="P42" s="5">
        <f t="shared" si="30"/>
        <v>10.661086931984444</v>
      </c>
      <c r="Q42" s="6">
        <f t="shared" si="31"/>
        <v>0.28804962348187191</v>
      </c>
      <c r="R42">
        <f t="shared" si="32"/>
        <v>37.011285774707453</v>
      </c>
    </row>
    <row r="43" spans="5:22" x14ac:dyDescent="0.25">
      <c r="E43" s="16">
        <f t="shared" si="27"/>
        <v>10.740941581616971</v>
      </c>
      <c r="F43" s="6">
        <f t="shared" si="28"/>
        <v>0.29046543265244051</v>
      </c>
      <c r="G43" s="20">
        <f t="shared" si="29"/>
        <v>36.978381501488883</v>
      </c>
      <c r="P43" s="5">
        <f t="shared" si="30"/>
        <v>10.976338438306804</v>
      </c>
      <c r="Q43" s="6">
        <f t="shared" si="31"/>
        <v>0.2967256979511233</v>
      </c>
      <c r="R43">
        <f t="shared" si="32"/>
        <v>36.991532968320215</v>
      </c>
    </row>
    <row r="44" spans="5:22" x14ac:dyDescent="0.25">
      <c r="E44" s="16">
        <f t="shared" si="27"/>
        <v>9.9471112688939378</v>
      </c>
      <c r="F44" s="6">
        <f t="shared" si="28"/>
        <v>0.27054376083245102</v>
      </c>
      <c r="G44" s="20">
        <f t="shared" si="29"/>
        <v>36.767106505384277</v>
      </c>
      <c r="P44" s="5">
        <f t="shared" si="30"/>
        <v>10.422600194802571</v>
      </c>
      <c r="Q44" s="6">
        <f t="shared" si="31"/>
        <v>0.28032603360138697</v>
      </c>
      <c r="R44">
        <f t="shared" si="32"/>
        <v>37.180279194557848</v>
      </c>
    </row>
    <row r="45" spans="5:22" x14ac:dyDescent="0.25">
      <c r="E45" s="16">
        <f t="shared" si="27"/>
        <v>10.873338743019579</v>
      </c>
      <c r="F45" s="6">
        <f t="shared" si="28"/>
        <v>0.29282016794279336</v>
      </c>
      <c r="G45" s="20">
        <f t="shared" si="29"/>
        <v>37.13316203392057</v>
      </c>
      <c r="P45" s="5">
        <f t="shared" si="30"/>
        <v>10.87728294499037</v>
      </c>
      <c r="Q45" s="6">
        <f t="shared" si="31"/>
        <v>0.28293772757027075</v>
      </c>
      <c r="R45">
        <f t="shared" si="32"/>
        <v>38.444088168796348</v>
      </c>
    </row>
    <row r="46" spans="5:22" x14ac:dyDescent="0.25">
      <c r="E46" s="16">
        <f t="shared" si="27"/>
        <v>10.511575027966726</v>
      </c>
      <c r="F46" s="6">
        <f t="shared" si="28"/>
        <v>0.28328164537308598</v>
      </c>
      <c r="G46" s="20">
        <f t="shared" si="29"/>
        <v>37.10644582751852</v>
      </c>
      <c r="P46" s="5">
        <f t="shared" si="30"/>
        <v>11.031636039777629</v>
      </c>
      <c r="Q46" s="6">
        <f t="shared" si="31"/>
        <v>0.28891758134013873</v>
      </c>
      <c r="R46">
        <f t="shared" si="32"/>
        <v>38.182640144665456</v>
      </c>
    </row>
    <row r="47" spans="5:22" x14ac:dyDescent="0.25">
      <c r="E47" s="16">
        <f t="shared" si="27"/>
        <v>11.126683212597351</v>
      </c>
      <c r="F47" s="6">
        <f t="shared" si="28"/>
        <v>0.29794333584408977</v>
      </c>
      <c r="G47" s="20">
        <f t="shared" si="29"/>
        <v>37.34496420628053</v>
      </c>
      <c r="P47" s="5">
        <f t="shared" si="30"/>
        <v>12.102439382005226</v>
      </c>
      <c r="Q47" s="6">
        <f t="shared" si="31"/>
        <v>0.28783750666850894</v>
      </c>
      <c r="R47">
        <f t="shared" si="32"/>
        <v>42.046081909482098</v>
      </c>
    </row>
    <row r="48" spans="5:22" x14ac:dyDescent="0.25">
      <c r="E48" s="16">
        <f t="shared" si="27"/>
        <v>10.773466148699477</v>
      </c>
      <c r="F48" s="6">
        <f t="shared" si="28"/>
        <v>0.29074948246973131</v>
      </c>
      <c r="G48" s="20">
        <f t="shared" si="29"/>
        <v>37.054119777568502</v>
      </c>
      <c r="P48" s="5">
        <f t="shared" si="30"/>
        <v>11.745440459452084</v>
      </c>
      <c r="Q48" s="6">
        <f t="shared" si="31"/>
        <v>0.28825035060976156</v>
      </c>
      <c r="R48">
        <f t="shared" si="32"/>
        <v>40.747358796289099</v>
      </c>
    </row>
    <row r="49" spans="5:18" x14ac:dyDescent="0.25">
      <c r="E49" s="32">
        <f t="shared" si="27"/>
        <v>10.677465524987184</v>
      </c>
      <c r="F49" s="33">
        <f t="shared" si="28"/>
        <v>0.28875960119014915</v>
      </c>
      <c r="G49" s="34">
        <f t="shared" si="29"/>
        <v>36.977006066565515</v>
      </c>
      <c r="P49" s="35">
        <f t="shared" si="30"/>
        <v>10.803898828844442</v>
      </c>
      <c r="Q49" s="33">
        <f t="shared" si="31"/>
        <v>0.28964808207834608</v>
      </c>
      <c r="R49" s="36">
        <f t="shared" si="32"/>
        <v>37.300087579803574</v>
      </c>
    </row>
    <row r="51" spans="5:18" x14ac:dyDescent="0.25">
      <c r="G51" s="22">
        <f>AVERAGE(G37:G48)</f>
        <v>37.000424507832655</v>
      </c>
      <c r="R51">
        <f>AVERAGE(R37:R48)</f>
        <v>37.910020461976991</v>
      </c>
    </row>
  </sheetData>
  <mergeCells count="2">
    <mergeCell ref="A1:AC1"/>
    <mergeCell ref="A2:AC2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E12"/>
  <sheetViews>
    <sheetView showGridLines="0" workbookViewId="0">
      <selection activeCell="B5" sqref="B5"/>
    </sheetView>
  </sheetViews>
  <sheetFormatPr defaultRowHeight="15" x14ac:dyDescent="0.25"/>
  <cols>
    <col min="1" max="1" width="28" customWidth="1"/>
    <col min="2" max="5" width="16" customWidth="1"/>
  </cols>
  <sheetData>
    <row r="1" spans="1:5" ht="21.95" customHeight="1" x14ac:dyDescent="0.25">
      <c r="A1" s="26" t="s">
        <v>52</v>
      </c>
      <c r="B1" s="27"/>
      <c r="C1" s="27"/>
      <c r="D1" s="27"/>
      <c r="E1" s="27"/>
    </row>
    <row r="3" spans="1:5" x14ac:dyDescent="0.25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</row>
    <row r="4" spans="1:5" x14ac:dyDescent="0.25">
      <c r="A4" s="2" t="s">
        <v>58</v>
      </c>
      <c r="B4" s="5">
        <f>Inputs!E17/1000000</f>
        <v>49.151176069999991</v>
      </c>
      <c r="C4" s="5">
        <f>Inputs!P17/1000000</f>
        <v>39.377865540000016</v>
      </c>
      <c r="D4" s="5">
        <f t="shared" ref="D4:D12" si="0">C4-B4</f>
        <v>-9.773310529999975</v>
      </c>
      <c r="E4" s="11">
        <f>IFERROR(D4/B4,0)</f>
        <v>-0.19884184492515597</v>
      </c>
    </row>
    <row r="5" spans="1:5" x14ac:dyDescent="0.25">
      <c r="A5" s="2" t="s">
        <v>59</v>
      </c>
      <c r="B5" s="5">
        <f>Inputs!C17/1000000</f>
        <v>14.192874</v>
      </c>
      <c r="C5" s="5">
        <f>Inputs!N17/1000000</f>
        <v>11.405723230000001</v>
      </c>
      <c r="D5" s="5">
        <f t="shared" si="0"/>
        <v>-2.7871507699999984</v>
      </c>
      <c r="E5" s="11">
        <f t="shared" ref="E5:E12" si="1">IFERROR(D5/B5,0)</f>
        <v>-0.19637677118813276</v>
      </c>
    </row>
    <row r="6" spans="1:5" x14ac:dyDescent="0.25">
      <c r="A6" s="2" t="s">
        <v>60</v>
      </c>
      <c r="B6" s="5">
        <f>Inputs!D17/1000000</f>
        <v>496.75058999999999</v>
      </c>
      <c r="C6" s="5">
        <f>Inputs!O17/1000000</f>
        <v>399.20031305000003</v>
      </c>
      <c r="D6" s="5">
        <f t="shared" si="0"/>
        <v>-97.550276949999954</v>
      </c>
      <c r="E6" s="11">
        <f t="shared" si="1"/>
        <v>-0.19637677118813276</v>
      </c>
    </row>
    <row r="7" spans="1:5" x14ac:dyDescent="0.25">
      <c r="A7" s="2" t="s">
        <v>61</v>
      </c>
      <c r="B7" s="5">
        <f>Inputs!G17/1000000</f>
        <v>22.193999999999999</v>
      </c>
      <c r="C7" s="5">
        <f>Inputs!R17/1000000</f>
        <v>22.175999999999998</v>
      </c>
      <c r="D7" s="5">
        <f t="shared" si="0"/>
        <v>-1.8000000000000682E-2</v>
      </c>
      <c r="E7" s="11">
        <f t="shared" si="1"/>
        <v>-8.1103000811033089E-4</v>
      </c>
    </row>
    <row r="8" spans="1:5" x14ac:dyDescent="0.25">
      <c r="A8" s="2" t="s">
        <v>62</v>
      </c>
      <c r="B8" s="5">
        <f>Inputs!H17/1000000</f>
        <v>0.32529400000000003</v>
      </c>
      <c r="C8" s="5">
        <f>Inputs!S17/1000000</f>
        <v>0.64906834000000002</v>
      </c>
      <c r="D8" s="5">
        <f t="shared" si="0"/>
        <v>0.32377433999999999</v>
      </c>
      <c r="E8" s="11">
        <f t="shared" si="1"/>
        <v>0.99532834912417678</v>
      </c>
    </row>
    <row r="9" spans="1:5" x14ac:dyDescent="0.25">
      <c r="A9" s="2" t="s">
        <v>63</v>
      </c>
      <c r="B9" s="5">
        <f>Inputs!I17/1000000</f>
        <v>5.5401040000000004</v>
      </c>
      <c r="C9" s="5">
        <f>Inputs!T17/1000000</f>
        <v>3.4090940000000001</v>
      </c>
      <c r="D9" s="5">
        <f t="shared" si="0"/>
        <v>-2.1310100000000003</v>
      </c>
      <c r="E9" s="11">
        <f t="shared" si="1"/>
        <v>-0.38465162386843282</v>
      </c>
    </row>
    <row r="10" spans="1:5" x14ac:dyDescent="0.25">
      <c r="A10" s="2" t="s">
        <v>64</v>
      </c>
      <c r="B10" s="5">
        <f>Inputs!J17/1000000</f>
        <v>524.80998799999998</v>
      </c>
      <c r="C10" s="5">
        <f>Inputs!U17/1000000</f>
        <v>425.43447539000005</v>
      </c>
      <c r="D10" s="5">
        <f t="shared" si="0"/>
        <v>-99.37551260999993</v>
      </c>
      <c r="E10" s="11">
        <f t="shared" si="1"/>
        <v>-0.18935522357093543</v>
      </c>
    </row>
    <row r="11" spans="1:5" x14ac:dyDescent="0.25">
      <c r="A11" s="2" t="s">
        <v>65</v>
      </c>
      <c r="B11" s="5">
        <f>Inputs!K17</f>
        <v>10.677465524987184</v>
      </c>
      <c r="C11" s="5">
        <f>Inputs!V17</f>
        <v>10.803898828844442</v>
      </c>
      <c r="D11" s="5">
        <f t="shared" si="0"/>
        <v>0.12643330385725804</v>
      </c>
      <c r="E11" s="11">
        <f t="shared" si="1"/>
        <v>1.1841134355468668E-2</v>
      </c>
    </row>
    <row r="12" spans="1:5" x14ac:dyDescent="0.25">
      <c r="A12" s="2" t="s">
        <v>66</v>
      </c>
      <c r="B12" s="6">
        <f>Inputs!L17</f>
        <v>0.28875960119014915</v>
      </c>
      <c r="C12" s="6">
        <f>Inputs!W17</f>
        <v>0.28964808207834608</v>
      </c>
      <c r="D12" s="6">
        <f t="shared" si="0"/>
        <v>8.8848088819692972E-4</v>
      </c>
      <c r="E12" s="11">
        <f t="shared" si="1"/>
        <v>3.0768877797828172E-3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1:Z64"/>
  <sheetViews>
    <sheetView showGridLines="0" topLeftCell="A8" zoomScale="115" zoomScaleNormal="115" workbookViewId="0">
      <selection activeCell="J24" sqref="J24"/>
    </sheetView>
  </sheetViews>
  <sheetFormatPr defaultRowHeight="15" x14ac:dyDescent="0.25"/>
  <cols>
    <col min="1" max="1" width="10" customWidth="1"/>
    <col min="2" max="3" width="12" customWidth="1"/>
    <col min="4" max="4" width="14" customWidth="1"/>
    <col min="5" max="5" width="12" customWidth="1"/>
    <col min="14" max="14" width="9.140625" customWidth="1"/>
  </cols>
  <sheetData>
    <row r="1" spans="1:26" ht="36" customHeight="1" x14ac:dyDescent="0.25">
      <c r="A1" s="29" t="s">
        <v>67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60" spans="1:5" x14ac:dyDescent="0.25">
      <c r="A60" s="12" t="s">
        <v>68</v>
      </c>
    </row>
    <row r="62" spans="1:5" x14ac:dyDescent="0.25">
      <c r="A62" s="1" t="s">
        <v>69</v>
      </c>
      <c r="B62" s="1" t="s">
        <v>70</v>
      </c>
      <c r="C62" s="1" t="s">
        <v>71</v>
      </c>
      <c r="D62" s="1" t="s">
        <v>72</v>
      </c>
      <c r="E62" s="1" t="s">
        <v>73</v>
      </c>
    </row>
    <row r="63" spans="1:5" x14ac:dyDescent="0.25">
      <c r="A63" s="3" t="s">
        <v>54</v>
      </c>
      <c r="B63" s="5">
        <f>Inputs!D17/1000000</f>
        <v>496.75058999999999</v>
      </c>
      <c r="C63" s="5">
        <f>Inputs!G17/1000000</f>
        <v>22.193999999999999</v>
      </c>
      <c r="D63" s="5">
        <f>Inputs!H17/1000000</f>
        <v>0.32529400000000003</v>
      </c>
      <c r="E63" s="5">
        <f>Inputs!I17/1000000</f>
        <v>5.5401040000000004</v>
      </c>
    </row>
    <row r="64" spans="1:5" x14ac:dyDescent="0.25">
      <c r="A64" s="3" t="s">
        <v>55</v>
      </c>
      <c r="B64" s="5">
        <f>Inputs!O17/1000000</f>
        <v>399.20031305000003</v>
      </c>
      <c r="C64" s="5">
        <f>Inputs!R17/1000000</f>
        <v>22.175999999999998</v>
      </c>
      <c r="D64" s="5">
        <f>Inputs!S17/1000000</f>
        <v>0.64906834000000002</v>
      </c>
      <c r="E64" s="5">
        <f>Inputs!T17/1000000</f>
        <v>3.4090940000000001</v>
      </c>
    </row>
  </sheetData>
  <mergeCells count="1">
    <mergeCell ref="A1:Z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Summary_Improvement ปึ 67 vs 68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Chalita Sajjapipat</dc:creator>
  <cp:lastModifiedBy>Chalita Sajjapipat</cp:lastModifiedBy>
  <dcterms:created xsi:type="dcterms:W3CDTF">2026-01-12T07:12:30Z</dcterms:created>
  <dcterms:modified xsi:type="dcterms:W3CDTF">2026-02-11T06:34:19Z</dcterms:modified>
</cp:coreProperties>
</file>