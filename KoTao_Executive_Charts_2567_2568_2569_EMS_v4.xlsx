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84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_Improvement ปึ 67 vs 68" sheetId="2" state="visible" r:id="rId2"/>
    <sheet xmlns:r="http://schemas.openxmlformats.org/officeDocument/2006/relationships" name="Charts" sheetId="3" state="visible" r:id="rId3"/>
    <sheet xmlns:r="http://schemas.openxmlformats.org/officeDocument/2006/relationships" name="Exec_Summary" sheetId="4" state="visible" r:id="rId4"/>
    <sheet xmlns:r="http://schemas.openxmlformats.org/officeDocument/2006/relationships" name="Monthly" sheetId="5" state="visible" r:id="rId5"/>
    <sheet xmlns:r="http://schemas.openxmlformats.org/officeDocument/2006/relationships" name="TypicalDay_PeakMonth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FFFF"/>
      <sz val="18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2" fillId="4" borderId="1" pivotButton="0" quotePrefix="0" xfId="0"/>
    <xf numFmtId="3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1) Total Cost by Month (Million THB)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Inputs!$L$4</f>
              <strCache>
                <ptCount val="1"/>
                <pt idx="0">
                  <v>Total Cost (M THB) 2567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Inputs!$L$5:$L$16</f>
              <numCache>
                <formatCode>0.00</formatCode>
                <ptCount val="12"/>
                <pt idx="0">
                  <v>39.821371</v>
                </pt>
                <pt idx="1">
                  <v>41.222875</v>
                </pt>
                <pt idx="2">
                  <v>49.654956</v>
                </pt>
                <pt idx="3">
                  <v>52.23347</v>
                </pt>
                <pt idx="4">
                  <v>49.22625</v>
                </pt>
                <pt idx="5">
                  <v>42.003672</v>
                </pt>
                <pt idx="6">
                  <v>45.760932</v>
                </pt>
                <pt idx="7">
                  <v>49.848843</v>
                </pt>
                <pt idx="8">
                  <v>40.710051</v>
                </pt>
                <pt idx="9">
                  <v>38.979505</v>
                </pt>
                <pt idx="10">
                  <v>36.553363</v>
                </pt>
                <pt idx="11">
                  <v>38.7947</v>
                </pt>
              </numCache>
            </numRef>
          </val>
          <smooth val="0"/>
        </ser>
        <ser>
          <idx val="1"/>
          <order val="1"/>
          <tx>
            <strRef>
              <f>Inputs!$V$4</f>
              <strCache>
                <ptCount val="1"/>
                <pt idx="0">
                  <v>Total Cost (M THB) 2568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Inputs!$V$5:$V$16</f>
              <numCache>
                <formatCode>0.00</formatCode>
                <ptCount val="12"/>
                <pt idx="0">
                  <v>43.104916</v>
                </pt>
                <pt idx="1">
                  <v>40.48148774</v>
                </pt>
                <pt idx="2">
                  <v>48.8899456</v>
                </pt>
                <pt idx="3">
                  <v>50.427047</v>
                </pt>
                <pt idx="4">
                  <v>45.808132</v>
                </pt>
                <pt idx="5">
                  <v>42.003368</v>
                </pt>
                <pt idx="6">
                  <v>42.631632</v>
                </pt>
                <pt idx="7">
                  <v>39.27898735</v>
                </pt>
                <pt idx="8">
                  <v>26.508775</v>
                </pt>
                <pt idx="9">
                  <v>22.677889</v>
                </pt>
                <pt idx="10">
                  <v>12.56354724</v>
                </pt>
                <pt idx="11">
                  <v>13.534694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 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 xml:space="preserve"> Cosr </a:t>
                </a:r>
                <a:r>
                  <a:rPr lang="th-TH" baseline="0"/>
                  <a:t>(</a:t>
                </a:r>
                <a:r>
                  <a:rPr lang="en-US" baseline="0"/>
                  <a:t>THB</a:t>
                </a:r>
                <a:r>
                  <a:rPr lang="th-TH" baseline="0"/>
                  <a:t>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2) All-in Cost (THB/kWh)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Inputs!$J$4</f>
              <strCache>
                <ptCount val="1"/>
                <pt idx="0">
                  <v>All-in (THB/kWh) 2567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Inputs!$J$5:$J$16</f>
              <numCache>
                <formatCode>0.00</formatCode>
                <ptCount val="12"/>
                <pt idx="0">
                  <v>10.80301774162307</v>
                </pt>
                <pt idx="1">
                  <v>10.78042506537106</v>
                </pt>
                <pt idx="2">
                  <v>10.68423247417189</v>
                </pt>
                <pt idx="3">
                  <v>10.67538094302335</v>
                </pt>
                <pt idx="4">
                  <v>10.71165254717761</v>
                </pt>
                <pt idx="5">
                  <v>10.7840477825058</v>
                </pt>
                <pt idx="6">
                  <v>10.74094158161697</v>
                </pt>
                <pt idx="7">
                  <v>9.947111268893938</v>
                </pt>
                <pt idx="8">
                  <v>10.87333874301958</v>
                </pt>
                <pt idx="9">
                  <v>10.51157502796673</v>
                </pt>
                <pt idx="10">
                  <v>11.12668321259735</v>
                </pt>
                <pt idx="11">
                  <v>10.77346614869948</v>
                </pt>
              </numCache>
            </numRef>
          </val>
          <smooth val="0"/>
        </ser>
        <ser>
          <idx val="1"/>
          <order val="1"/>
          <tx>
            <strRef>
              <f>Inputs!$T$4</f>
              <strCache>
                <ptCount val="1"/>
                <pt idx="0">
                  <v>All-in (THB/kWh) 2568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Inputs!$T$5:$T$16</f>
              <numCache>
                <formatCode>0.00</formatCode>
                <ptCount val="12"/>
                <pt idx="0">
                  <v>10.79731615845747</v>
                </pt>
                <pt idx="1">
                  <v>10.89302656382714</v>
                </pt>
                <pt idx="2">
                  <v>10.46760108569762</v>
                </pt>
                <pt idx="3">
                  <v>10.88911940518216</v>
                </pt>
                <pt idx="4">
                  <v>10.64838104766583</v>
                </pt>
                <pt idx="5">
                  <v>10.66108693198444</v>
                </pt>
                <pt idx="6">
                  <v>10.9763384383068</v>
                </pt>
                <pt idx="7">
                  <v>10.42260019480257</v>
                </pt>
                <pt idx="8">
                  <v>10.87728294499037</v>
                </pt>
                <pt idx="9">
                  <v>11.28397630204105</v>
                </pt>
                <pt idx="10">
                  <v>13.78813038878902</v>
                </pt>
                <pt idx="11">
                  <v>12.13345905440969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All in Cosr </a:t>
                </a:r>
                <a:r>
                  <a:rPr lang="th-TH"/>
                  <a:t>(</a:t>
                </a:r>
                <a:r>
                  <a:rPr lang="en-US"/>
                  <a:t>THB/kWh</a:t>
                </a:r>
                <a:r>
                  <a:rPr lang="th-TH"/>
                  <a:t>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3) Fuel Intensity (L/kWh)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Inputs!$K$4</f>
              <strCache>
                <ptCount val="1"/>
                <pt idx="0">
                  <v>Fuel Intensity (L/kWh) 2567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Inputs!$K$5:$K$16</f>
              <numCache>
                <formatCode>0.0000</formatCode>
                <ptCount val="12"/>
                <pt idx="0">
                  <v>0.2909815541160468</v>
                </pt>
                <pt idx="1">
                  <v>0.2903542375308575</v>
                </pt>
                <pt idx="2">
                  <v>0.2909132636326855</v>
                </pt>
                <pt idx="3">
                  <v>0.2910200013672899</v>
                </pt>
                <pt idx="4">
                  <v>0.2911621969096554</v>
                </pt>
                <pt idx="5">
                  <v>0.2901448581790622</v>
                </pt>
                <pt idx="6">
                  <v>0.2904654326524405</v>
                </pt>
                <pt idx="7">
                  <v>0.270543760832451</v>
                </pt>
                <pt idx="8">
                  <v>0.2928201679427934</v>
                </pt>
                <pt idx="9">
                  <v>0.283281645373086</v>
                </pt>
                <pt idx="10">
                  <v>0.2979433358440898</v>
                </pt>
                <pt idx="11">
                  <v>0.2907494824697313</v>
                </pt>
              </numCache>
            </numRef>
          </val>
          <smooth val="0"/>
        </ser>
        <ser>
          <idx val="1"/>
          <order val="1"/>
          <tx>
            <strRef>
              <f>Inputs!$U$4</f>
              <strCache>
                <ptCount val="1"/>
                <pt idx="0">
                  <v>Fuel Intensity (L/kWh) 2568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Inputs!$B$5:$B$16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Inputs!$U$5:$U$16</f>
              <numCache>
                <formatCode>0.0000</formatCode>
                <ptCount val="12"/>
                <pt idx="0">
                  <v>0.2929538889451098</v>
                </pt>
                <pt idx="1">
                  <v>0.2912569318394183</v>
                </pt>
                <pt idx="2">
                  <v>0.285803081950377</v>
                </pt>
                <pt idx="3">
                  <v>0.2969586871379704</v>
                </pt>
                <pt idx="4">
                  <v>0.2896242974304067</v>
                </pt>
                <pt idx="5">
                  <v>0.2880496234818719</v>
                </pt>
                <pt idx="6">
                  <v>0.2967256979511233</v>
                </pt>
                <pt idx="7">
                  <v>0.280326033601387</v>
                </pt>
                <pt idx="8">
                  <v>0.2829377275702707</v>
                </pt>
                <pt idx="9">
                  <v>0.2889175813401387</v>
                </pt>
                <pt idx="10">
                  <v>0.2878375066685089</v>
                </pt>
                <pt idx="11">
                  <v>0.2882503506097616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Intensity (L/kWh)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r>
              <a:rPr lang="en-US" sz="2800">
                <a:latin typeface="Browallia New" panose="020B0604020202020204" pitchFamily="34" charset="-34"/>
                <a:cs typeface="Browallia New" panose="020B0604020202020204" pitchFamily="34" charset="-34"/>
              </a:rPr>
              <a:t>Cost Breakdown (Annual, Million THB)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7477456910942584"/>
          <y val="0.08799715597509966"/>
          <w val="0.9252254308905742"/>
          <h val="0.873479013970516"/>
        </manualLayout>
      </layout>
      <barChart>
        <barDir val="col"/>
        <grouping val="stacked"/>
        <varyColors val="1"/>
        <ser>
          <idx val="0"/>
          <order val="0"/>
          <tx>
            <strRef>
              <f>Charts!$B$62</f>
              <strCache>
                <ptCount val="1"/>
                <pt idx="0">
                  <v>Fuel</v>
                </pt>
              </strCache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Charts!$B$63:$B$64</f>
              <numCache>
                <formatCode>0.00</formatCode>
                <ptCount val="2"/>
                <pt idx="0">
                  <v>496.75059</v>
                </pt>
                <pt idx="1">
                  <v>399.20031305</v>
                </pt>
              </numCache>
            </numRef>
          </val>
        </ser>
        <ser>
          <idx val="1"/>
          <order val="1"/>
          <tx>
            <strRef>
              <f>Charts!$C$62</f>
              <strCache>
                <ptCount val="1"/>
                <pt idx="0">
                  <v>Rental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Charts!$C$63:$C$64</f>
              <numCache>
                <formatCode>0.00</formatCode>
                <ptCount val="2"/>
                <pt idx="0">
                  <v>22.194</v>
                </pt>
                <pt idx="1">
                  <v>22.176</v>
                </pt>
              </numCache>
            </numRef>
          </val>
        </ser>
        <ser>
          <idx val="2"/>
          <order val="2"/>
          <tx>
            <strRef>
              <f>Charts!$D$62</f>
              <strCache>
                <ptCount val="1"/>
                <pt idx="0">
                  <v>Maintenance</v>
                </pt>
              </strCache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Charts!$D$63:$D$64</f>
              <numCache>
                <formatCode>0.00</formatCode>
                <ptCount val="2"/>
                <pt idx="0">
                  <v>0.325294</v>
                </pt>
                <pt idx="1">
                  <v>1.66515788</v>
                </pt>
              </numCache>
            </numRef>
          </val>
        </ser>
        <ser>
          <idx val="3"/>
          <order val="3"/>
          <tx>
            <strRef>
              <f>Charts!$E$62</f>
              <strCache>
                <ptCount val="1"/>
                <pt idx="0">
                  <v>Other</v>
                </pt>
              </strCache>
            </strRef>
          </tx>
          <spPr>
            <a:solidFill xmlns:a="http://schemas.openxmlformats.org/drawingml/2006/main">
              <a:srgbClr val="B65708"/>
            </a:solidFill>
            <a:ln xmlns:a="http://schemas.openxmlformats.org/drawingml/2006/main">
              <a:noFill/>
              <a:prstDash val="solid"/>
            </a:ln>
          </spPr>
          <invertIfNegative val="1"/>
          <cat>
            <strRef>
              <f>Charts!$A$63:$A$64</f>
              <strCache>
                <ptCount val="2"/>
                <pt idx="0">
                  <v>2567</v>
                </pt>
                <pt idx="1">
                  <v>2568</v>
                </pt>
              </strCache>
            </strRef>
          </cat>
          <val>
            <numRef>
              <f>Charts!$E$63:$E$64</f>
              <numCache>
                <formatCode>0.00</formatCode>
                <ptCount val="2"/>
                <pt idx="0">
                  <v>5.540104</v>
                </pt>
                <pt idx="1">
                  <v>4.86895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strike="noStrike" baseline="0"/>
                  <a:t xml:space="preserve">Annual Cost Breakdown </a:t>
                </a:r>
                <a:r>
                  <a:rPr lang="th-TH" sz="900" b="1" i="0" strike="noStrike" baseline="0"/>
                  <a:t>(</a:t>
                </a:r>
                <a:r>
                  <a:rPr lang="en-US" sz="900" b="1" i="0" strike="noStrike" baseline="0"/>
                  <a:t>THB</a:t>
                </a:r>
                <a:r>
                  <a:rPr lang="th-TH" sz="900" b="1" i="0" strike="noStrike" baseline="0"/>
                  <a:t>)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4865011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5456616794192681"/>
          <y val="0.08817291879651855"/>
          <w val="0.43599230593518"/>
          <h val="0.0378153437663434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legend>
    <plotVisOnly val="1"/>
    <dispBlanksAs val="zero"/>
  </chart>
  <spPr>
    <a:solidFill xmlns:a="http://schemas.openxmlformats.org/drawingml/2006/main">
      <a:schemeClr val="lt1"/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Model</author>
  </authors>
  <commentList>
    <comment ref="I4" authorId="0" shapeId="0">
      <text>
        <t>Total Cost = Fuel Cost + Rental + Maint + Other</t>
      </text>
    </comment>
    <comment ref="J4" authorId="0" shapeId="0">
      <text>
        <t>All-in (THB/kWh) = Total Cost / Energy (kWh)</t>
      </text>
    </comment>
    <comment ref="K4" authorId="0" shapeId="0">
      <text>
        <t>Fuel Intensity (L/kWh) = Fuel (L) / Energy (kWh)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>
    <from>
      <col>0</col>
      <colOff>1</colOff>
      <row>2</row>
      <rowOff>0</rowOff>
    </from>
    <to>
      <col>9</col>
      <colOff>176894</colOff>
      <row>22</row>
      <rowOff>95250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57150</colOff>
      <row>24</row>
      <rowOff>111577</rowOff>
    </from>
    <to>
      <col>9</col>
      <colOff>13607</colOff>
      <row>46</row>
      <rowOff>35378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340179</colOff>
      <row>2</row>
      <rowOff>132670</rowOff>
    </from>
    <to>
      <col>23</col>
      <colOff>411617</colOff>
      <row>21</row>
      <rowOff>37420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9</col>
      <colOff>158483</colOff>
      <row>24</row>
      <rowOff>125184</rowOff>
    </from>
    <to>
      <col>26</col>
      <colOff>102454</colOff>
      <row>73</row>
      <rowOff>112059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A17"/>
  <sheetViews>
    <sheetView showGridLines="0" tabSelected="1" topLeftCell="K1" workbookViewId="0">
      <selection activeCell="S23" sqref="S23"/>
    </sheetView>
  </sheetViews>
  <sheetFormatPr baseColWidth="8" defaultRowHeight="15"/>
  <cols>
    <col width="12" customWidth="1" style="17" min="1" max="1"/>
    <col width="8" customWidth="1" style="17" min="2" max="2"/>
    <col width="14" customWidth="1" style="17" min="3" max="3"/>
    <col width="18" customWidth="1" style="17" min="4" max="4"/>
    <col width="16" customWidth="1" style="17" min="5" max="5"/>
    <col width="14" customWidth="1" style="17" min="6" max="8"/>
    <col width="17.85546875" customWidth="1" style="17" min="9" max="9"/>
    <col width="16" customWidth="1" style="17" min="10" max="10"/>
    <col width="18" customWidth="1" style="17" min="11" max="12"/>
    <col width="14" customWidth="1" style="17" min="13" max="13"/>
    <col width="18" customWidth="1" style="17" min="14" max="14"/>
    <col width="16" customWidth="1" style="17" min="15" max="15"/>
    <col width="14" customWidth="1" style="17" min="16" max="18"/>
    <col width="18" customWidth="1" style="17" min="19" max="19"/>
    <col width="16" customWidth="1" style="17" min="20" max="20"/>
    <col width="18" customWidth="1" style="17" min="21" max="22"/>
    <col width="16" customWidth="1" style="17" min="23" max="24"/>
    <col width="20" customWidth="1" style="17" min="25" max="25"/>
  </cols>
  <sheetData>
    <row r="1" ht="26.1" customHeight="1" s="17">
      <c r="A1" s="16" t="inlineStr">
        <is>
          <t>Koh Tao – Standard Value KPI (2567 vs 2568) | All-in Cost, Fuel Intensity, Cost Breakdown</t>
        </is>
      </c>
    </row>
    <row r="2" ht="69" customHeight="1" s="17">
      <c r="A2" s="18" t="inlineStr">
        <is>
          <t>Definitions:
Total Cost = Fuel Cost + Rental + Maintenance + Other
All-in Cost (THB/kWh) = Total Cost / Energy (kWh)
Fuel Intensity (L/kWh) = Fuel (L) / Energy (kWh)</t>
        </is>
      </c>
    </row>
    <row r="3" ht="38.25" customHeight="1" s="17"/>
    <row r="4" ht="30" customHeight="1" s="17">
      <c r="A4" s="1" t="inlineStr">
        <is>
          <t>Month (TH)</t>
        </is>
      </c>
      <c r="B4" s="1" t="inlineStr">
        <is>
          <t>Month</t>
        </is>
      </c>
      <c r="C4" s="13" t="inlineStr">
        <is>
          <t>Fuel (L) 2567</t>
        </is>
      </c>
      <c r="D4" s="13" t="inlineStr">
        <is>
          <t>Fuel Cost (THB) 2567</t>
        </is>
      </c>
      <c r="E4" s="13" t="inlineStr">
        <is>
          <t>Energy (kWh) 2567</t>
        </is>
      </c>
      <c r="F4" s="13" t="inlineStr">
        <is>
          <t>Rental (THB) 2567</t>
        </is>
      </c>
      <c r="G4" s="13" t="inlineStr">
        <is>
          <t>Maint. (THB) 2567</t>
        </is>
      </c>
      <c r="H4" s="13" t="inlineStr">
        <is>
          <t>Other (THB) 2567</t>
        </is>
      </c>
      <c r="I4" s="13" t="inlineStr">
        <is>
          <t>Total Cost (THB) 2567</t>
        </is>
      </c>
      <c r="J4" s="13" t="inlineStr">
        <is>
          <t>All-in (THB/kWh) 2567</t>
        </is>
      </c>
      <c r="K4" s="13" t="inlineStr">
        <is>
          <t>Fuel Intensity (L/kWh) 2567</t>
        </is>
      </c>
      <c r="L4" s="13" t="inlineStr">
        <is>
          <t>Total Cost (M THB) 2567</t>
        </is>
      </c>
      <c r="M4" s="14" t="inlineStr">
        <is>
          <t>Fuel (L) 2568</t>
        </is>
      </c>
      <c r="N4" s="14" t="inlineStr">
        <is>
          <t>Fuel Cost (THB) 2568</t>
        </is>
      </c>
      <c r="O4" s="14" t="inlineStr">
        <is>
          <t>Energy (kWh) 2568</t>
        </is>
      </c>
      <c r="P4" s="14" t="inlineStr">
        <is>
          <t>Rental (THB) 2568</t>
        </is>
      </c>
      <c r="Q4" s="14" t="inlineStr">
        <is>
          <t>Maint. (THB) 2568</t>
        </is>
      </c>
      <c r="R4" s="14" t="inlineStr">
        <is>
          <t>Other (THB) 2568</t>
        </is>
      </c>
      <c r="S4" s="14" t="inlineStr">
        <is>
          <t>Total Cost (THB) 2568</t>
        </is>
      </c>
      <c r="T4" s="14" t="inlineStr">
        <is>
          <t>All-in (THB/kWh) 2568</t>
        </is>
      </c>
      <c r="U4" s="14" t="inlineStr">
        <is>
          <t>Fuel Intensity (L/kWh) 2568</t>
        </is>
      </c>
      <c r="V4" s="14" t="inlineStr">
        <is>
          <t>Total Cost (M THB) 2568</t>
        </is>
      </c>
      <c r="W4" s="1" t="inlineStr">
        <is>
          <t>Δ Total Cost (THB)</t>
        </is>
      </c>
      <c r="X4" s="1" t="inlineStr">
        <is>
          <t>Δ All-in (THB/kWh)</t>
        </is>
      </c>
      <c r="Y4" s="1" t="inlineStr">
        <is>
          <t>Δ Fuel Intensity (L/kWh)</t>
        </is>
      </c>
    </row>
    <row r="5">
      <c r="A5" s="2" t="inlineStr">
        <is>
          <t>มกราคม</t>
        </is>
      </c>
      <c r="B5" s="3" t="inlineStr">
        <is>
          <t>Jan</t>
        </is>
      </c>
      <c r="C5" s="4" t="n">
        <v>1072597</v>
      </c>
      <c r="D5" s="4" t="n">
        <v>37540895</v>
      </c>
      <c r="E5" s="4" t="n">
        <v>3686134</v>
      </c>
      <c r="F5" s="4" t="n">
        <v>1850000</v>
      </c>
      <c r="G5" s="4" t="n">
        <v>21220</v>
      </c>
      <c r="H5" s="4" t="n">
        <v>409256</v>
      </c>
      <c r="I5" s="4">
        <f>D5+F5+G5+H5</f>
        <v/>
      </c>
      <c r="J5" s="5">
        <f>IFERROR(I5/E5,0)</f>
        <v/>
      </c>
      <c r="K5" s="20">
        <f>IFERROR(C5/E5,0)</f>
        <v/>
      </c>
      <c r="L5" s="5">
        <f>I5/1000000</f>
        <v/>
      </c>
      <c r="M5" s="4" t="n">
        <v>1169527</v>
      </c>
      <c r="N5" s="4" t="n">
        <v>40933445</v>
      </c>
      <c r="O5" s="4" t="n">
        <v>3992188</v>
      </c>
      <c r="P5" s="4" t="n">
        <v>1848000</v>
      </c>
      <c r="Q5" s="4" t="n">
        <v>0</v>
      </c>
      <c r="R5" s="4" t="n">
        <v>323471</v>
      </c>
      <c r="S5" s="4">
        <f>N5+P5+Q5+R5</f>
        <v/>
      </c>
      <c r="T5" s="5">
        <f>IFERROR(S5/O5,0)</f>
        <v/>
      </c>
      <c r="U5" s="20">
        <f>IFERROR(M5/O5,0)</f>
        <v/>
      </c>
      <c r="V5" s="5">
        <f>S5/1000000</f>
        <v/>
      </c>
      <c r="W5" s="4">
        <f>S5-I5</f>
        <v/>
      </c>
      <c r="X5" s="5">
        <f>T5-J5</f>
        <v/>
      </c>
      <c r="Y5" s="20">
        <f>U5-K5</f>
        <v/>
      </c>
    </row>
    <row r="6">
      <c r="A6" s="2" t="inlineStr">
        <is>
          <t>กุมภาพันธ์</t>
        </is>
      </c>
      <c r="B6" s="3" t="inlineStr">
        <is>
          <t>Feb</t>
        </is>
      </c>
      <c r="C6" s="4" t="n">
        <v>1110275</v>
      </c>
      <c r="D6" s="4" t="n">
        <v>38859625</v>
      </c>
      <c r="E6" s="4" t="n">
        <v>3823863.6</v>
      </c>
      <c r="F6" s="4" t="n">
        <v>1850000</v>
      </c>
      <c r="G6" s="4" t="n">
        <v>0</v>
      </c>
      <c r="H6" s="4" t="n">
        <v>513250</v>
      </c>
      <c r="I6" s="4">
        <f>D6+F6+G6+H6</f>
        <v/>
      </c>
      <c r="J6" s="5">
        <f>IFERROR(I6/E6,0)</f>
        <v/>
      </c>
      <c r="K6" s="20">
        <f>IFERROR(C6/E6,0)</f>
        <v/>
      </c>
      <c r="L6" s="5">
        <f>I6/1000000</f>
        <v/>
      </c>
      <c r="M6" s="4" t="n">
        <v>1082391</v>
      </c>
      <c r="N6" s="4" t="n">
        <v>37883685</v>
      </c>
      <c r="O6" s="4" t="n">
        <v>3716275.5</v>
      </c>
      <c r="P6" s="4" t="n">
        <v>1848000</v>
      </c>
      <c r="Q6" s="4" t="n">
        <v>379023.74</v>
      </c>
      <c r="R6" s="4" t="n">
        <v>370779</v>
      </c>
      <c r="S6" s="4">
        <f>N6+P6+Q6+R6</f>
        <v/>
      </c>
      <c r="T6" s="5">
        <f>IFERROR(S6/O6,0)</f>
        <v/>
      </c>
      <c r="U6" s="20">
        <f>IFERROR(M6/O6,0)</f>
        <v/>
      </c>
      <c r="V6" s="5">
        <f>S6/1000000</f>
        <v/>
      </c>
      <c r="W6" s="4">
        <f>S6-I6</f>
        <v/>
      </c>
      <c r="X6" s="5">
        <f>T6-J6</f>
        <v/>
      </c>
      <c r="Y6" s="20">
        <f>U6-K6</f>
        <v/>
      </c>
    </row>
    <row r="7">
      <c r="A7" s="2" t="inlineStr">
        <is>
          <t>มีนาคม</t>
        </is>
      </c>
      <c r="B7" s="3" t="inlineStr">
        <is>
          <t>Mar</t>
        </is>
      </c>
      <c r="C7" s="4" t="n">
        <v>1352019</v>
      </c>
      <c r="D7" s="4" t="n">
        <v>47320665</v>
      </c>
      <c r="E7" s="4" t="n">
        <v>4647498.65</v>
      </c>
      <c r="F7" s="4" t="n">
        <v>1850000</v>
      </c>
      <c r="G7" s="4" t="n">
        <v>0</v>
      </c>
      <c r="H7" s="4" t="n">
        <v>484291</v>
      </c>
      <c r="I7" s="4">
        <f>D7+F7+G7+H7</f>
        <v/>
      </c>
      <c r="J7" s="5">
        <f>IFERROR(I7/E7,0)</f>
        <v/>
      </c>
      <c r="K7" s="20">
        <f>IFERROR(C7/E7,0)</f>
        <v/>
      </c>
      <c r="L7" s="5">
        <f>I7/1000000</f>
        <v/>
      </c>
      <c r="M7" s="4" t="n">
        <v>1334871</v>
      </c>
      <c r="N7" s="4" t="n">
        <v>46720485</v>
      </c>
      <c r="O7" s="4" t="n">
        <v>4670596.94</v>
      </c>
      <c r="P7" s="4" t="n">
        <v>1848000</v>
      </c>
      <c r="Q7" s="4" t="n">
        <v>299.6</v>
      </c>
      <c r="R7" s="4" t="n">
        <v>321161</v>
      </c>
      <c r="S7" s="4">
        <f>N7+P7+Q7+R7</f>
        <v/>
      </c>
      <c r="T7" s="5">
        <f>IFERROR(S7/O7,0)</f>
        <v/>
      </c>
      <c r="U7" s="20">
        <f>IFERROR(M7/O7,0)</f>
        <v/>
      </c>
      <c r="V7" s="5">
        <f>S7/1000000</f>
        <v/>
      </c>
      <c r="W7" s="4">
        <f>S7-I7</f>
        <v/>
      </c>
      <c r="X7" s="5">
        <f>T7-J7</f>
        <v/>
      </c>
      <c r="Y7" s="20">
        <f>U7-K7</f>
        <v/>
      </c>
    </row>
    <row r="8">
      <c r="A8" s="2" t="inlineStr">
        <is>
          <t>เมษายน</t>
        </is>
      </c>
      <c r="B8" s="3" t="inlineStr">
        <is>
          <t>Apr</t>
        </is>
      </c>
      <c r="C8" s="4" t="n">
        <v>1423929</v>
      </c>
      <c r="D8" s="4" t="n">
        <v>49837515</v>
      </c>
      <c r="E8" s="4" t="n">
        <v>4892890.5</v>
      </c>
      <c r="F8" s="4" t="n">
        <v>1850000</v>
      </c>
      <c r="G8" s="4" t="n">
        <v>20000</v>
      </c>
      <c r="H8" s="4" t="n">
        <v>525955</v>
      </c>
      <c r="I8" s="4">
        <f>D8+F8+G8+H8</f>
        <v/>
      </c>
      <c r="J8" s="5">
        <f>IFERROR(I8/E8,0)</f>
        <v/>
      </c>
      <c r="K8" s="20">
        <f>IFERROR(C8/E8,0)</f>
        <v/>
      </c>
      <c r="L8" s="5">
        <f>I8/1000000</f>
        <v/>
      </c>
      <c r="M8" s="4" t="n">
        <v>1375203</v>
      </c>
      <c r="N8" s="4" t="n">
        <v>48132105</v>
      </c>
      <c r="O8" s="4" t="n">
        <v>4630957.3</v>
      </c>
      <c r="P8" s="4" t="n">
        <v>1848000</v>
      </c>
      <c r="Q8" s="4" t="n">
        <v>87381</v>
      </c>
      <c r="R8" s="4" t="n">
        <v>359561</v>
      </c>
      <c r="S8" s="4">
        <f>N8+P8+Q8+R8</f>
        <v/>
      </c>
      <c r="T8" s="5">
        <f>IFERROR(S8/O8,0)</f>
        <v/>
      </c>
      <c r="U8" s="20">
        <f>IFERROR(M8/O8,0)</f>
        <v/>
      </c>
      <c r="V8" s="5">
        <f>S8/1000000</f>
        <v/>
      </c>
      <c r="W8" s="4">
        <f>S8-I8</f>
        <v/>
      </c>
      <c r="X8" s="5">
        <f>T8-J8</f>
        <v/>
      </c>
      <c r="Y8" s="20">
        <f>U8-K8</f>
        <v/>
      </c>
    </row>
    <row r="9">
      <c r="A9" s="2" t="inlineStr">
        <is>
          <t>พฤษภาคม</t>
        </is>
      </c>
      <c r="B9" s="3" t="inlineStr">
        <is>
          <t>May</t>
        </is>
      </c>
      <c r="C9" s="4" t="n">
        <v>1338059</v>
      </c>
      <c r="D9" s="4" t="n">
        <v>46832065</v>
      </c>
      <c r="E9" s="4" t="n">
        <v>4595579.42</v>
      </c>
      <c r="F9" s="4" t="n">
        <v>1850000</v>
      </c>
      <c r="G9" s="4" t="n">
        <v>0</v>
      </c>
      <c r="H9" s="4" t="n">
        <v>544185</v>
      </c>
      <c r="I9" s="4">
        <f>D9+F9+G9+H9</f>
        <v/>
      </c>
      <c r="J9" s="5">
        <f>IFERROR(I9/E9,0)</f>
        <v/>
      </c>
      <c r="K9" s="20">
        <f>IFERROR(C9/E9,0)</f>
        <v/>
      </c>
      <c r="L9" s="5">
        <f>I9/1000000</f>
        <v/>
      </c>
      <c r="M9" s="4" t="n">
        <v>1245931</v>
      </c>
      <c r="N9" s="4" t="n">
        <v>43607585</v>
      </c>
      <c r="O9" s="4" t="n">
        <v>4301887</v>
      </c>
      <c r="P9" s="4" t="n">
        <v>1848000</v>
      </c>
      <c r="Q9" s="4" t="n">
        <v>20650</v>
      </c>
      <c r="R9" s="4" t="n">
        <v>331897</v>
      </c>
      <c r="S9" s="4">
        <f>N9+P9+Q9+R9</f>
        <v/>
      </c>
      <c r="T9" s="5">
        <f>IFERROR(S9/O9,0)</f>
        <v/>
      </c>
      <c r="U9" s="20">
        <f>IFERROR(M9/O9,0)</f>
        <v/>
      </c>
      <c r="V9" s="5">
        <f>S9/1000000</f>
        <v/>
      </c>
      <c r="W9" s="4">
        <f>S9-I9</f>
        <v/>
      </c>
      <c r="X9" s="5">
        <f>T9-J9</f>
        <v/>
      </c>
      <c r="Y9" s="20">
        <f>U9-K9</f>
        <v/>
      </c>
    </row>
    <row r="10">
      <c r="A10" s="2" t="inlineStr">
        <is>
          <t>มิถุนายน</t>
        </is>
      </c>
      <c r="B10" s="3" t="inlineStr">
        <is>
          <t>Jun</t>
        </is>
      </c>
      <c r="C10" s="4" t="n">
        <v>1130109</v>
      </c>
      <c r="D10" s="4" t="n">
        <v>39553815</v>
      </c>
      <c r="E10" s="4" t="n">
        <v>3894982</v>
      </c>
      <c r="F10" s="4" t="n">
        <v>1850000</v>
      </c>
      <c r="G10" s="4" t="n">
        <v>36016</v>
      </c>
      <c r="H10" s="4" t="n">
        <v>563841</v>
      </c>
      <c r="I10" s="4">
        <f>D10+F10+G10+H10</f>
        <v/>
      </c>
      <c r="J10" s="5">
        <f>IFERROR(I10/E10,0)</f>
        <v/>
      </c>
      <c r="K10" s="20">
        <f>IFERROR(C10/E10,0)</f>
        <v/>
      </c>
      <c r="L10" s="5">
        <f>I10/1000000</f>
        <v/>
      </c>
      <c r="M10" s="4" t="n">
        <v>1134880</v>
      </c>
      <c r="N10" s="4" t="n">
        <v>39720800</v>
      </c>
      <c r="O10" s="4" t="n">
        <v>3939876.7</v>
      </c>
      <c r="P10" s="4" t="n">
        <v>1848000</v>
      </c>
      <c r="Q10" s="4" t="n">
        <v>6715</v>
      </c>
      <c r="R10" s="4" t="n">
        <v>427853</v>
      </c>
      <c r="S10" s="4">
        <f>N10+P10+Q10+R10</f>
        <v/>
      </c>
      <c r="T10" s="5">
        <f>IFERROR(S10/O10,0)</f>
        <v/>
      </c>
      <c r="U10" s="20">
        <f>IFERROR(M10/O10,0)</f>
        <v/>
      </c>
      <c r="V10" s="5">
        <f>S10/1000000</f>
        <v/>
      </c>
      <c r="W10" s="4">
        <f>S10-I10</f>
        <v/>
      </c>
      <c r="X10" s="5">
        <f>T10-J10</f>
        <v/>
      </c>
      <c r="Y10" s="20">
        <f>U10-K10</f>
        <v/>
      </c>
    </row>
    <row r="11">
      <c r="A11" s="2" t="inlineStr">
        <is>
          <t>กรกฎาคม</t>
        </is>
      </c>
      <c r="B11" s="3" t="inlineStr">
        <is>
          <t>Jul</t>
        </is>
      </c>
      <c r="C11" s="4" t="n">
        <v>1237505</v>
      </c>
      <c r="D11" s="4" t="n">
        <v>43312675</v>
      </c>
      <c r="E11" s="4" t="n">
        <v>4260420.9</v>
      </c>
      <c r="F11" s="4" t="n">
        <v>1849000</v>
      </c>
      <c r="G11" s="4" t="n">
        <v>83883</v>
      </c>
      <c r="H11" s="4" t="n">
        <v>515374</v>
      </c>
      <c r="I11" s="4">
        <f>D11+F11+G11+H11</f>
        <v/>
      </c>
      <c r="J11" s="5">
        <f>IFERROR(I11/E11,0)</f>
        <v/>
      </c>
      <c r="K11" s="20">
        <f>IFERROR(C11/E11,0)</f>
        <v/>
      </c>
      <c r="L11" s="5">
        <f>I11/1000000</f>
        <v/>
      </c>
      <c r="M11" s="4" t="n">
        <v>1152470</v>
      </c>
      <c r="N11" s="4" t="n">
        <v>40336450</v>
      </c>
      <c r="O11" s="4" t="n">
        <v>3883957.5</v>
      </c>
      <c r="P11" s="4" t="n">
        <v>1848000</v>
      </c>
      <c r="Q11" s="4" t="n">
        <v>179</v>
      </c>
      <c r="R11" s="4" t="n">
        <v>447003</v>
      </c>
      <c r="S11" s="4">
        <f>N11+P11+Q11+R11</f>
        <v/>
      </c>
      <c r="T11" s="5">
        <f>IFERROR(S11/O11,0)</f>
        <v/>
      </c>
      <c r="U11" s="20">
        <f>IFERROR(M11/O11,0)</f>
        <v/>
      </c>
      <c r="V11" s="5">
        <f>S11/1000000</f>
        <v/>
      </c>
      <c r="W11" s="4">
        <f>S11-I11</f>
        <v/>
      </c>
      <c r="X11" s="5">
        <f>T11-J11</f>
        <v/>
      </c>
      <c r="Y11" s="20">
        <f>U11-K11</f>
        <v/>
      </c>
    </row>
    <row r="12">
      <c r="A12" s="2" t="inlineStr">
        <is>
          <t>สิงหาคม</t>
        </is>
      </c>
      <c r="B12" s="3" t="inlineStr">
        <is>
          <t>Aug</t>
        </is>
      </c>
      <c r="C12" s="4" t="n">
        <v>1355800</v>
      </c>
      <c r="D12" s="4" t="n">
        <v>47453000</v>
      </c>
      <c r="E12" s="4" t="n">
        <v>5011388.9</v>
      </c>
      <c r="F12" s="4" t="n">
        <v>1849000</v>
      </c>
      <c r="G12" s="4" t="n">
        <v>13000</v>
      </c>
      <c r="H12" s="4" t="n">
        <v>533843</v>
      </c>
      <c r="I12" s="4">
        <f>D12+F12+G12+H12</f>
        <v/>
      </c>
      <c r="J12" s="5">
        <f>IFERROR(I12/E12,0)</f>
        <v/>
      </c>
      <c r="K12" s="20">
        <f>IFERROR(C12/E12,0)</f>
        <v/>
      </c>
      <c r="L12" s="5">
        <f>I12/1000000</f>
        <v/>
      </c>
      <c r="M12" s="4" t="n">
        <v>1056446.81</v>
      </c>
      <c r="N12" s="4" t="n">
        <v>36975638.35</v>
      </c>
      <c r="O12" s="4" t="n">
        <v>3768636.1</v>
      </c>
      <c r="P12" s="4" t="n">
        <v>1848000</v>
      </c>
      <c r="Q12" s="4" t="n">
        <v>65820</v>
      </c>
      <c r="R12" s="4" t="n">
        <v>389529</v>
      </c>
      <c r="S12" s="4">
        <f>N12+P12+Q12+R12</f>
        <v/>
      </c>
      <c r="T12" s="5">
        <f>IFERROR(S12/O12,0)</f>
        <v/>
      </c>
      <c r="U12" s="20">
        <f>IFERROR(M12/O12,0)</f>
        <v/>
      </c>
      <c r="V12" s="5">
        <f>S12/1000000</f>
        <v/>
      </c>
      <c r="W12" s="4">
        <f>S12-I12</f>
        <v/>
      </c>
      <c r="X12" s="5">
        <f>T12-J12</f>
        <v/>
      </c>
      <c r="Y12" s="20">
        <f>U12-K12</f>
        <v/>
      </c>
    </row>
    <row r="13">
      <c r="A13" s="2" t="inlineStr">
        <is>
          <t>กันยายน</t>
        </is>
      </c>
      <c r="B13" s="3" t="inlineStr">
        <is>
          <t>Sep</t>
        </is>
      </c>
      <c r="C13" s="4" t="n">
        <v>1096326</v>
      </c>
      <c r="D13" s="4" t="n">
        <v>38371410</v>
      </c>
      <c r="E13" s="4" t="n">
        <v>3744024.9</v>
      </c>
      <c r="F13" s="4" t="n">
        <v>1849000</v>
      </c>
      <c r="G13" s="4" t="n">
        <v>86640</v>
      </c>
      <c r="H13" s="4" t="n">
        <v>403001</v>
      </c>
      <c r="I13" s="4">
        <f>D13+F13+G13+H13</f>
        <v/>
      </c>
      <c r="J13" s="5">
        <f>IFERROR(I13/E13,0)</f>
        <v/>
      </c>
      <c r="K13" s="20">
        <f>IFERROR(C13/E13,0)</f>
        <v/>
      </c>
      <c r="L13" s="5">
        <f>I13/1000000</f>
        <v/>
      </c>
      <c r="M13" s="4" t="n">
        <v>689541</v>
      </c>
      <c r="N13" s="4" t="n">
        <v>24133935</v>
      </c>
      <c r="O13" s="4" t="n">
        <v>2437076.9</v>
      </c>
      <c r="P13" s="4" t="n">
        <v>1848000</v>
      </c>
      <c r="Q13" s="4" t="n">
        <v>89000</v>
      </c>
      <c r="R13" s="4" t="n">
        <v>437840</v>
      </c>
      <c r="S13" s="4">
        <f>N13+P13+Q13+R13</f>
        <v/>
      </c>
      <c r="T13" s="5">
        <f>IFERROR(S13/O13,0)</f>
        <v/>
      </c>
      <c r="U13" s="20">
        <f>IFERROR(M13/O13,0)</f>
        <v/>
      </c>
      <c r="V13" s="5">
        <f>S13/1000000</f>
        <v/>
      </c>
      <c r="W13" s="4">
        <f>S13-I13</f>
        <v/>
      </c>
      <c r="X13" s="5">
        <f>T13-J13</f>
        <v/>
      </c>
      <c r="Y13" s="20">
        <f>U13-K13</f>
        <v/>
      </c>
    </row>
    <row r="14">
      <c r="A14" s="2" t="inlineStr">
        <is>
          <t>ตุลาคม</t>
        </is>
      </c>
      <c r="B14" s="3" t="inlineStr">
        <is>
          <t>Oct</t>
        </is>
      </c>
      <c r="C14" s="4" t="n">
        <v>1050478</v>
      </c>
      <c r="D14" s="4" t="n">
        <v>36766730</v>
      </c>
      <c r="E14" s="4" t="n">
        <v>3708245.9</v>
      </c>
      <c r="F14" s="4" t="n">
        <v>1849000</v>
      </c>
      <c r="G14" s="4" t="n">
        <v>6430</v>
      </c>
      <c r="H14" s="4" t="n">
        <v>357345</v>
      </c>
      <c r="I14" s="4">
        <f>D14+F14+G14+H14</f>
        <v/>
      </c>
      <c r="J14" s="5">
        <f>IFERROR(I14/E14,0)</f>
        <v/>
      </c>
      <c r="K14" s="20">
        <f>IFERROR(C14/E14,0)</f>
        <v/>
      </c>
      <c r="L14" s="5">
        <f>I14/1000000</f>
        <v/>
      </c>
      <c r="M14" s="4" t="n">
        <v>580650</v>
      </c>
      <c r="N14" s="4" t="n">
        <v>20322750</v>
      </c>
      <c r="O14" s="4" t="n">
        <v>2009742.7</v>
      </c>
      <c r="P14" s="4" t="n">
        <v>1848000</v>
      </c>
      <c r="Q14" s="4" t="n">
        <v>2960</v>
      </c>
      <c r="R14" s="4" t="n">
        <v>504179</v>
      </c>
      <c r="S14" s="4">
        <f>N14+P14+Q14+R14</f>
        <v/>
      </c>
      <c r="T14" s="5">
        <f>IFERROR(S14/O14,0)</f>
        <v/>
      </c>
      <c r="U14" s="20">
        <f>IFERROR(M14/O14,0)</f>
        <v/>
      </c>
      <c r="V14" s="5">
        <f>S14/1000000</f>
        <v/>
      </c>
      <c r="W14" s="4">
        <f>S14-I14</f>
        <v/>
      </c>
      <c r="X14" s="5">
        <f>T14-J14</f>
        <v/>
      </c>
      <c r="Y14" s="20">
        <f>U14-K14</f>
        <v/>
      </c>
    </row>
    <row r="15">
      <c r="A15" s="2" t="inlineStr">
        <is>
          <t>พฤศจิกายน</t>
        </is>
      </c>
      <c r="B15" s="3" t="inlineStr">
        <is>
          <t>Nov</t>
        </is>
      </c>
      <c r="C15" s="4" t="n">
        <v>978803</v>
      </c>
      <c r="D15" s="4" t="n">
        <v>34258105</v>
      </c>
      <c r="E15" s="4" t="n">
        <v>3285198.5</v>
      </c>
      <c r="F15" s="4" t="n">
        <v>1849000</v>
      </c>
      <c r="G15" s="4" t="n">
        <v>40460</v>
      </c>
      <c r="H15" s="4" t="n">
        <v>405798</v>
      </c>
      <c r="I15" s="4">
        <f>D15+F15+G15+H15</f>
        <v/>
      </c>
      <c r="J15" s="5">
        <f>IFERROR(I15/E15,0)</f>
        <v/>
      </c>
      <c r="K15" s="20">
        <f>IFERROR(C15/E15,0)</f>
        <v/>
      </c>
      <c r="L15" s="5">
        <f>I15/1000000</f>
        <v/>
      </c>
      <c r="M15" s="4" t="n">
        <v>262273.42</v>
      </c>
      <c r="N15" s="4" t="n">
        <v>9179569.699999999</v>
      </c>
      <c r="O15" s="4" t="n">
        <v>911185.7</v>
      </c>
      <c r="P15" s="4" t="n">
        <v>1848000</v>
      </c>
      <c r="Q15" s="4" t="n">
        <v>1009829.54</v>
      </c>
      <c r="R15" s="4" t="n">
        <v>526148</v>
      </c>
      <c r="S15" s="4">
        <f>N15+P15+Q15+R15</f>
        <v/>
      </c>
      <c r="T15" s="5">
        <f>IFERROR(S15/O15,0)</f>
        <v/>
      </c>
      <c r="U15" s="20">
        <f>IFERROR(M15/O15,0)</f>
        <v/>
      </c>
      <c r="V15" s="5">
        <f>S15/1000000</f>
        <v/>
      </c>
      <c r="W15" s="4">
        <f>S15-I15</f>
        <v/>
      </c>
      <c r="X15" s="5">
        <f>T15-J15</f>
        <v/>
      </c>
      <c r="Y15" s="20">
        <f>U15-K15</f>
        <v/>
      </c>
    </row>
    <row r="16">
      <c r="A16" s="2" t="inlineStr">
        <is>
          <t>ธันวาคม</t>
        </is>
      </c>
      <c r="B16" s="3" t="inlineStr">
        <is>
          <t>Dec</t>
        </is>
      </c>
      <c r="C16" s="4" t="n">
        <v>1046974</v>
      </c>
      <c r="D16" s="4" t="n">
        <v>36644090</v>
      </c>
      <c r="E16" s="4" t="n">
        <v>3600948.8</v>
      </c>
      <c r="F16" s="4" t="n">
        <v>1849000</v>
      </c>
      <c r="G16" s="4" t="n">
        <v>17645</v>
      </c>
      <c r="H16" s="4" t="n">
        <v>283965</v>
      </c>
      <c r="I16" s="4">
        <f>D16+F16+G16+H16</f>
        <v/>
      </c>
      <c r="J16" s="5">
        <f>IFERROR(I16/E16,0)</f>
        <v/>
      </c>
      <c r="K16" s="20">
        <f>IFERROR(C16/E16,0)</f>
        <v/>
      </c>
      <c r="L16" s="5">
        <f>I16/1000000</f>
        <v/>
      </c>
      <c r="M16" s="4" t="n">
        <v>321539</v>
      </c>
      <c r="N16" s="4" t="n">
        <v>11253865</v>
      </c>
      <c r="O16" s="4" t="n">
        <v>1115485.2</v>
      </c>
      <c r="P16" s="4" t="n">
        <v>1848000</v>
      </c>
      <c r="Q16" s="4" t="n">
        <v>3300</v>
      </c>
      <c r="R16" s="4" t="n">
        <v>429529</v>
      </c>
      <c r="S16" s="4">
        <f>N16+P16+Q16+R16</f>
        <v/>
      </c>
      <c r="T16" s="5">
        <f>IFERROR(S16/O16,0)</f>
        <v/>
      </c>
      <c r="U16" s="20">
        <f>IFERROR(M16/O16,0)</f>
        <v/>
      </c>
      <c r="V16" s="5">
        <f>S16/1000000</f>
        <v/>
      </c>
      <c r="W16" s="4">
        <f>S16-I16</f>
        <v/>
      </c>
      <c r="X16" s="5">
        <f>T16-J16</f>
        <v/>
      </c>
      <c r="Y16" s="20">
        <f>U16-K16</f>
        <v/>
      </c>
    </row>
    <row r="17">
      <c r="A17" s="7" t="inlineStr">
        <is>
          <t>รวม</t>
        </is>
      </c>
      <c r="B17" s="7" t="inlineStr">
        <is>
          <t>Total</t>
        </is>
      </c>
      <c r="C17" s="8">
        <f>SUM(C5:C16)</f>
        <v/>
      </c>
      <c r="D17" s="15">
        <f>SUM(D5:D16)</f>
        <v/>
      </c>
      <c r="E17" s="8">
        <f>SUM(E5:E16)</f>
        <v/>
      </c>
      <c r="F17" s="15">
        <f>SUM(F5:F16)</f>
        <v/>
      </c>
      <c r="G17" s="15">
        <f>SUM(G5:G16)</f>
        <v/>
      </c>
      <c r="H17" s="15">
        <f>SUM(H5:H16)</f>
        <v/>
      </c>
      <c r="I17" s="8">
        <f>SUM(I5:I16)</f>
        <v/>
      </c>
      <c r="J17" s="9">
        <f>IFERROR(I17/E17,0)</f>
        <v/>
      </c>
      <c r="K17" s="21">
        <f>IFERROR(C17/E17,0)</f>
        <v/>
      </c>
      <c r="L17" s="9">
        <f>SUM(L5:L16)</f>
        <v/>
      </c>
      <c r="M17" s="8">
        <f>SUM(M5:M16)</f>
        <v/>
      </c>
      <c r="N17" s="8">
        <f>SUM(N5:N16)</f>
        <v/>
      </c>
      <c r="O17" s="8">
        <f>SUM(O5:O16)</f>
        <v/>
      </c>
      <c r="P17" s="8">
        <f>SUM(P5:P16)</f>
        <v/>
      </c>
      <c r="Q17" s="8">
        <f>SUM(Q5:Q16)</f>
        <v/>
      </c>
      <c r="R17" s="8">
        <f>SUM(R5:R16)</f>
        <v/>
      </c>
      <c r="S17" s="8">
        <f>SUM(S5:S16)</f>
        <v/>
      </c>
      <c r="T17" s="9">
        <f>IFERROR(S17/O17,0)</f>
        <v/>
      </c>
      <c r="U17" s="21">
        <f>IFERROR(M17/O17,0)</f>
        <v/>
      </c>
      <c r="V17" s="9">
        <f>SUM(V5:V16)</f>
        <v/>
      </c>
      <c r="W17" s="8">
        <f>SUM(W5:W16)</f>
        <v/>
      </c>
      <c r="X17" s="9">
        <f>T17-J17</f>
        <v/>
      </c>
      <c r="Y17" s="21">
        <f>U17-K17</f>
        <v/>
      </c>
    </row>
  </sheetData>
  <mergeCells count="2">
    <mergeCell ref="A1:AA1"/>
    <mergeCell ref="A2:AA2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3" tint="0.5999938962981048"/>
    <outlinePr summaryBelow="1" summaryRight="1"/>
    <pageSetUpPr/>
  </sheetPr>
  <dimension ref="A1:E12"/>
  <sheetViews>
    <sheetView showGridLines="0" workbookViewId="0">
      <selection activeCell="B5" sqref="B5"/>
    </sheetView>
  </sheetViews>
  <sheetFormatPr baseColWidth="8" defaultRowHeight="15"/>
  <cols>
    <col width="28" customWidth="1" style="17" min="1" max="1"/>
    <col width="16" customWidth="1" style="17" min="2" max="5"/>
  </cols>
  <sheetData>
    <row r="1" ht="21.95" customHeight="1" s="17">
      <c r="A1" s="16" t="inlineStr">
        <is>
          <t>Annual KPI Summary</t>
        </is>
      </c>
    </row>
    <row r="3">
      <c r="A3" s="1" t="inlineStr">
        <is>
          <t>Metric</t>
        </is>
      </c>
      <c r="B3" s="1" t="inlineStr">
        <is>
          <t>2567</t>
        </is>
      </c>
      <c r="C3" s="1" t="inlineStr">
        <is>
          <t>2568</t>
        </is>
      </c>
      <c r="D3" s="1" t="inlineStr">
        <is>
          <t>Δ (2568-2567)</t>
        </is>
      </c>
      <c r="E3" s="1" t="inlineStr">
        <is>
          <t>%Δ vs 2567</t>
        </is>
      </c>
    </row>
    <row r="4">
      <c r="A4" s="2" t="inlineStr">
        <is>
          <t>Energy (GWh)</t>
        </is>
      </c>
      <c r="B4" s="5">
        <f>Inputs!E17/1000000</f>
        <v/>
      </c>
      <c r="C4" s="5">
        <f>Inputs!O17/1000000</f>
        <v/>
      </c>
      <c r="D4" s="5">
        <f>C4-B4</f>
        <v/>
      </c>
      <c r="E4" s="22">
        <f>IFERROR(D4/B4,0)</f>
        <v/>
      </c>
    </row>
    <row r="5">
      <c r="A5" s="2" t="inlineStr">
        <is>
          <t>Fuel (Million L)</t>
        </is>
      </c>
      <c r="B5" s="5">
        <f>Inputs!C17/1000000</f>
        <v/>
      </c>
      <c r="C5" s="5">
        <f>Inputs!M17/1000000</f>
        <v/>
      </c>
      <c r="D5" s="5">
        <f>C5-B5</f>
        <v/>
      </c>
      <c r="E5" s="22">
        <f>IFERROR(D5/B5,0)</f>
        <v/>
      </c>
    </row>
    <row r="6">
      <c r="A6" s="2" t="inlineStr">
        <is>
          <t>Fuel cost (Million THB)</t>
        </is>
      </c>
      <c r="B6" s="5">
        <f>Inputs!D17/1000000</f>
        <v/>
      </c>
      <c r="C6" s="5">
        <f>Inputs!N17/1000000</f>
        <v/>
      </c>
      <c r="D6" s="5">
        <f>C6-B6</f>
        <v/>
      </c>
      <c r="E6" s="22">
        <f>IFERROR(D6/B6,0)</f>
        <v/>
      </c>
    </row>
    <row r="7">
      <c r="A7" s="2" t="inlineStr">
        <is>
          <t>Rental (Million THB)</t>
        </is>
      </c>
      <c r="B7" s="5">
        <f>Inputs!F17/1000000</f>
        <v/>
      </c>
      <c r="C7" s="5">
        <f>Inputs!P17/1000000</f>
        <v/>
      </c>
      <c r="D7" s="5">
        <f>C7-B7</f>
        <v/>
      </c>
      <c r="E7" s="22">
        <f>IFERROR(D7/B7,0)</f>
        <v/>
      </c>
    </row>
    <row r="8">
      <c r="A8" s="2" t="inlineStr">
        <is>
          <t>Maintenance (Million THB)</t>
        </is>
      </c>
      <c r="B8" s="5">
        <f>Inputs!G17/1000000</f>
        <v/>
      </c>
      <c r="C8" s="5">
        <f>Inputs!Q17/1000000</f>
        <v/>
      </c>
      <c r="D8" s="5">
        <f>C8-B8</f>
        <v/>
      </c>
      <c r="E8" s="22">
        <f>IFERROR(D8/B8,0)</f>
        <v/>
      </c>
    </row>
    <row r="9">
      <c r="A9" s="2" t="inlineStr">
        <is>
          <t>Other (Million THB)</t>
        </is>
      </c>
      <c r="B9" s="5">
        <f>Inputs!H17/1000000</f>
        <v/>
      </c>
      <c r="C9" s="5">
        <f>Inputs!R17/1000000</f>
        <v/>
      </c>
      <c r="D9" s="5">
        <f>C9-B9</f>
        <v/>
      </c>
      <c r="E9" s="22">
        <f>IFERROR(D9/B9,0)</f>
        <v/>
      </c>
    </row>
    <row r="10">
      <c r="A10" s="2" t="inlineStr">
        <is>
          <t>Total cost (Million THB)</t>
        </is>
      </c>
      <c r="B10" s="5">
        <f>Inputs!I17/1000000</f>
        <v/>
      </c>
      <c r="C10" s="5">
        <f>Inputs!S17/1000000</f>
        <v/>
      </c>
      <c r="D10" s="5">
        <f>C10-B10</f>
        <v/>
      </c>
      <c r="E10" s="22">
        <f>IFERROR(D10/B10,0)</f>
        <v/>
      </c>
    </row>
    <row r="11">
      <c r="A11" s="2" t="inlineStr">
        <is>
          <t>All-in cost (THB/kWh)</t>
        </is>
      </c>
      <c r="B11" s="5">
        <f>Inputs!J17</f>
        <v/>
      </c>
      <c r="C11" s="5">
        <f>Inputs!T17</f>
        <v/>
      </c>
      <c r="D11" s="5">
        <f>C11-B11</f>
        <v/>
      </c>
      <c r="E11" s="22">
        <f>IFERROR(D11/B11,0)</f>
        <v/>
      </c>
    </row>
    <row r="12">
      <c r="A12" s="2" t="inlineStr">
        <is>
          <t>Fuel intensity (L/kWh)</t>
        </is>
      </c>
      <c r="B12" s="20">
        <f>Inputs!K17</f>
        <v/>
      </c>
      <c r="C12" s="20">
        <f>Inputs!U17</f>
        <v/>
      </c>
      <c r="D12" s="20">
        <f>C12-B12</f>
        <v/>
      </c>
      <c r="E12" s="22">
        <f>IFERROR(D12/B12,0)</f>
        <v/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6" tint="0.5999938962981048"/>
    <outlinePr summaryBelow="1" summaryRight="1"/>
    <pageSetUpPr/>
  </sheetPr>
  <dimension ref="A1:Z64"/>
  <sheetViews>
    <sheetView showGridLines="0" topLeftCell="A41" zoomScale="115" zoomScaleNormal="115" workbookViewId="0">
      <selection activeCell="D64" sqref="D64"/>
    </sheetView>
  </sheetViews>
  <sheetFormatPr baseColWidth="8" defaultRowHeight="15"/>
  <cols>
    <col width="10" customWidth="1" style="17" min="1" max="1"/>
    <col width="12" customWidth="1" style="17" min="2" max="3"/>
    <col width="14" customWidth="1" style="17" min="4" max="4"/>
    <col width="12" customWidth="1" style="17" min="5" max="5"/>
    <col width="9.140625" customWidth="1" style="17" min="14" max="14"/>
  </cols>
  <sheetData>
    <row r="1" ht="36" customHeight="1" s="17">
      <c r="A1" s="19" t="inlineStr">
        <is>
          <t>Standard Value Charts (2567 vs 2568)</t>
        </is>
      </c>
    </row>
    <row r="60">
      <c r="A60" s="12" t="inlineStr">
        <is>
          <t>4) Cost Breakdown (Annual, Million THB)</t>
        </is>
      </c>
    </row>
    <row r="62">
      <c r="A62" s="1" t="inlineStr">
        <is>
          <t>Year</t>
        </is>
      </c>
      <c r="B62" s="1" t="inlineStr">
        <is>
          <t>Fuel</t>
        </is>
      </c>
      <c r="C62" s="1" t="inlineStr">
        <is>
          <t>Rental</t>
        </is>
      </c>
      <c r="D62" s="1" t="inlineStr">
        <is>
          <t>Maintenance</t>
        </is>
      </c>
      <c r="E62" s="1" t="inlineStr">
        <is>
          <t>Other</t>
        </is>
      </c>
    </row>
    <row r="63">
      <c r="A63" s="3" t="inlineStr">
        <is>
          <t>2567</t>
        </is>
      </c>
      <c r="B63" s="5">
        <f>Inputs!D17/1000000</f>
        <v/>
      </c>
      <c r="C63" s="5">
        <f>Inputs!F17/1000000</f>
        <v/>
      </c>
      <c r="D63" s="5">
        <f>Inputs!G17/1000000</f>
        <v/>
      </c>
      <c r="E63" s="5">
        <f>Inputs!H17/1000000</f>
        <v/>
      </c>
    </row>
    <row r="64">
      <c r="A64" s="3" t="inlineStr">
        <is>
          <t>2568</t>
        </is>
      </c>
      <c r="B64" s="5">
        <f>Inputs!N17/1000000</f>
        <v/>
      </c>
      <c r="C64" s="5">
        <f>Inputs!P17/1000000</f>
        <v/>
      </c>
      <c r="D64" s="5">
        <f>Inputs!Q17/1000000</f>
        <v/>
      </c>
      <c r="E64" s="5">
        <f>Inputs!R17/1000000</f>
        <v/>
      </c>
    </row>
  </sheetData>
  <mergeCells count="1">
    <mergeCell ref="A1:Z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Dispatch file (EMS)</t>
        </is>
      </c>
      <c r="B2" t="inlineStr">
        <is>
          <t>E:\#NR_TRAINING BY CHINA\Python EMS\Import_Grid_P_2024\out_kotao_2569\KoTao_Dispatch_GroupAB_2569_v3.xlsx</t>
        </is>
      </c>
    </row>
    <row r="3">
      <c r="A3" t="inlineStr">
        <is>
          <t>Template file</t>
        </is>
      </c>
      <c r="B3" t="inlineStr">
        <is>
          <t>E:\#NR_TRAINING BY CHINA\Python EMS\Import_Grid_P_2024\out_kotao_2569\KoTao_StandardValue_Charts.xlsx</t>
        </is>
      </c>
    </row>
    <row r="4">
      <c r="A4" t="inlineStr">
        <is>
          <t>Baseline year</t>
        </is>
      </c>
      <c r="B4" t="inlineStr">
        <is>
          <t>2568</t>
        </is>
      </c>
    </row>
    <row r="5">
      <c r="A5" t="inlineStr">
        <is>
          <t>Baseline fuel cost (THB)</t>
        </is>
      </c>
      <c r="B5" t="n">
        <v>399200313.05</v>
      </c>
    </row>
    <row r="6">
      <c r="A6" t="inlineStr">
        <is>
          <t>Baseline DG energy (kWh)</t>
        </is>
      </c>
      <c r="B6" t="n">
        <v>39377865.54000001</v>
      </c>
    </row>
    <row r="7">
      <c r="A7" t="inlineStr">
        <is>
          <t>Baseline fuel cost proxy (THB/kWh)</t>
        </is>
      </c>
      <c r="B7" t="n">
        <v>10.13768287274211</v>
      </c>
    </row>
    <row r="8">
      <c r="A8" t="inlineStr">
        <is>
          <t>EMS year</t>
        </is>
      </c>
      <c r="B8" t="inlineStr">
        <is>
          <t>2569</t>
        </is>
      </c>
    </row>
    <row r="9">
      <c r="A9" t="inlineStr">
        <is>
          <t>EMS all-in / fuel-cost proxy (THB/kWh)</t>
        </is>
      </c>
      <c r="B9" t="n">
        <v>10.12041796405029</v>
      </c>
    </row>
    <row r="10">
      <c r="A10" t="inlineStr">
        <is>
          <t>EMS DG energy (kWh)</t>
        </is>
      </c>
      <c r="B10" t="n">
        <v>19735897.73970524</v>
      </c>
    </row>
    <row r="11">
      <c r="A11" t="inlineStr">
        <is>
          <t>EMS fuel cost (THB)</t>
        </is>
      </c>
      <c r="B11" t="n">
        <v>199735534.0215724</v>
      </c>
    </row>
    <row r="12">
      <c r="A12" t="inlineStr">
        <is>
          <t>Saving (THB)</t>
        </is>
      </c>
      <c r="B12" t="n">
        <v>199464779.0284276</v>
      </c>
    </row>
    <row r="13">
      <c r="A13" t="inlineStr">
        <is>
          <t>Saving (%)</t>
        </is>
      </c>
      <c r="B13" t="n">
        <v>49.96608782805351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Month_TH</t>
        </is>
      </c>
      <c r="C1" t="inlineStr">
        <is>
          <t>Month_EN</t>
        </is>
      </c>
      <c r="D1" t="inlineStr">
        <is>
          <t>DG_MWh_base</t>
        </is>
      </c>
      <c r="E1" t="inlineStr">
        <is>
          <t>DG_kWh_base</t>
        </is>
      </c>
      <c r="F1" t="inlineStr">
        <is>
          <t>Fuel_L_base</t>
        </is>
      </c>
      <c r="G1" t="inlineStr">
        <is>
          <t>FuelCost_THB_base</t>
        </is>
      </c>
      <c r="H1" t="inlineStr">
        <is>
          <t>DG_MWh_ems</t>
        </is>
      </c>
      <c r="I1" t="inlineStr">
        <is>
          <t>DG_kWh_ems</t>
        </is>
      </c>
      <c r="J1" t="inlineStr">
        <is>
          <t>Fuel_L_ems</t>
        </is>
      </c>
      <c r="K1" t="inlineStr">
        <is>
          <t>FuelCost_THB_ems</t>
        </is>
      </c>
      <c r="L1" t="inlineStr">
        <is>
          <t>Saving_THB</t>
        </is>
      </c>
      <c r="M1" t="inlineStr">
        <is>
          <t>Saving_pct</t>
        </is>
      </c>
      <c r="N1" t="inlineStr">
        <is>
          <t>AllIn_ems</t>
        </is>
      </c>
    </row>
    <row r="2">
      <c r="A2" t="n">
        <v>1</v>
      </c>
      <c r="B2" t="inlineStr">
        <is>
          <t>มกราคม</t>
        </is>
      </c>
      <c r="C2" t="inlineStr">
        <is>
          <t>Jan</t>
        </is>
      </c>
      <c r="D2" t="n">
        <v>3992.188</v>
      </c>
      <c r="E2" t="n">
        <v>3992188</v>
      </c>
      <c r="F2" t="n">
        <v>1169527</v>
      </c>
      <c r="G2" t="n">
        <v>40933445</v>
      </c>
      <c r="H2" t="n">
        <v>508.7931844025203</v>
      </c>
      <c r="I2" t="n">
        <v>508793.1844025203</v>
      </c>
      <c r="J2" t="n">
        <v>149390.270036288</v>
      </c>
      <c r="K2" t="n">
        <v>5149199.683413619</v>
      </c>
      <c r="L2" t="n">
        <v>35784245.31658638</v>
      </c>
      <c r="M2" t="n">
        <v>87.42055626294434</v>
      </c>
      <c r="N2" t="n">
        <v>10.12041796405029</v>
      </c>
    </row>
    <row r="3">
      <c r="A3" t="n">
        <v>2</v>
      </c>
      <c r="B3" t="inlineStr">
        <is>
          <t>กุมภาพันธ์</t>
        </is>
      </c>
      <c r="C3" t="inlineStr">
        <is>
          <t>Feb</t>
        </is>
      </c>
      <c r="D3" t="n">
        <v>3716.2755</v>
      </c>
      <c r="E3" t="n">
        <v>3716275.5</v>
      </c>
      <c r="F3" t="n">
        <v>1082391</v>
      </c>
      <c r="G3" t="n">
        <v>37883685</v>
      </c>
      <c r="H3" t="n">
        <v>1296.074390232251</v>
      </c>
      <c r="I3" t="n">
        <v>1296074.390232251</v>
      </c>
      <c r="J3" t="n">
        <v>381156.0422896501</v>
      </c>
      <c r="K3" t="n">
        <v>13116814.541652</v>
      </c>
      <c r="L3" t="n">
        <v>24766870.458348</v>
      </c>
      <c r="M3" t="n">
        <v>65.37608592814557</v>
      </c>
      <c r="N3" t="n">
        <v>10.12041796405029</v>
      </c>
    </row>
    <row r="4">
      <c r="A4" t="n">
        <v>3</v>
      </c>
      <c r="B4" t="inlineStr">
        <is>
          <t>มีนาคม</t>
        </is>
      </c>
      <c r="C4" t="inlineStr">
        <is>
          <t>Mar</t>
        </is>
      </c>
      <c r="D4" t="n">
        <v>4670.59694</v>
      </c>
      <c r="E4" t="n">
        <v>4670596.94</v>
      </c>
      <c r="F4" t="n">
        <v>1334871</v>
      </c>
      <c r="G4" t="n">
        <v>46720485</v>
      </c>
      <c r="H4" t="n">
        <v>2175.533151148496</v>
      </c>
      <c r="I4" t="n">
        <v>2175533.151148496</v>
      </c>
      <c r="J4" t="n">
        <v>640723.9985809306</v>
      </c>
      <c r="K4" t="n">
        <v>22017304.78427018</v>
      </c>
      <c r="L4" t="n">
        <v>24703180.21572982</v>
      </c>
      <c r="M4" t="n">
        <v>52.87440876465607</v>
      </c>
      <c r="N4" t="n">
        <v>10.12041796405029</v>
      </c>
    </row>
    <row r="5">
      <c r="A5" t="n">
        <v>4</v>
      </c>
      <c r="B5" t="inlineStr">
        <is>
          <t>เมษายน</t>
        </is>
      </c>
      <c r="C5" t="inlineStr">
        <is>
          <t>Apr</t>
        </is>
      </c>
      <c r="D5" t="n">
        <v>4630.9573</v>
      </c>
      <c r="E5" t="n">
        <v>4630957.3</v>
      </c>
      <c r="F5" t="n">
        <v>1375203</v>
      </c>
      <c r="G5" t="n">
        <v>48132105</v>
      </c>
      <c r="H5" t="n">
        <v>2269.488722684028</v>
      </c>
      <c r="I5" t="n">
        <v>2269488.722684028</v>
      </c>
      <c r="J5" t="n">
        <v>669119.1047401988</v>
      </c>
      <c r="K5" t="n">
        <v>22968174.43826099</v>
      </c>
      <c r="L5" t="n">
        <v>25163930.56173901</v>
      </c>
      <c r="M5" t="n">
        <v>52.28096830948701</v>
      </c>
      <c r="N5" t="n">
        <v>10.12041796405029</v>
      </c>
    </row>
    <row r="6">
      <c r="A6" t="n">
        <v>5</v>
      </c>
      <c r="B6" t="inlineStr">
        <is>
          <t>พฤษภาคม</t>
        </is>
      </c>
      <c r="C6" t="inlineStr">
        <is>
          <t>May</t>
        </is>
      </c>
      <c r="D6" t="n">
        <v>4301.887</v>
      </c>
      <c r="E6" t="n">
        <v>4301887</v>
      </c>
      <c r="F6" t="n">
        <v>1245931</v>
      </c>
      <c r="G6" t="n">
        <v>43607585</v>
      </c>
      <c r="H6" t="n">
        <v>1547.87218060551</v>
      </c>
      <c r="I6" t="n">
        <v>1547872.18060551</v>
      </c>
      <c r="J6" t="n">
        <v>455312.131168002</v>
      </c>
      <c r="K6" t="n">
        <v>15665113.4226537</v>
      </c>
      <c r="L6" t="n">
        <v>27942471.5773463</v>
      </c>
      <c r="M6" t="n">
        <v>64.07709020654617</v>
      </c>
      <c r="N6" t="n">
        <v>10.12041796405029</v>
      </c>
    </row>
    <row r="7">
      <c r="A7" t="n">
        <v>6</v>
      </c>
      <c r="B7" t="inlineStr">
        <is>
          <t>มิถุนายน</t>
        </is>
      </c>
      <c r="C7" t="inlineStr">
        <is>
          <t>Jun</t>
        </is>
      </c>
      <c r="D7" t="n">
        <v>3939.8767</v>
      </c>
      <c r="E7" t="n">
        <v>3939876.7</v>
      </c>
      <c r="F7" t="n">
        <v>1134880</v>
      </c>
      <c r="G7" t="n">
        <v>39720800</v>
      </c>
      <c r="H7" t="n">
        <v>1599.258610632434</v>
      </c>
      <c r="I7" t="n">
        <v>1599258.610632434</v>
      </c>
      <c r="J7" t="n">
        <v>470198.0611754101</v>
      </c>
      <c r="K7" t="n">
        <v>16185165.5722066</v>
      </c>
      <c r="L7" t="n">
        <v>23535634.42779341</v>
      </c>
      <c r="M7" t="n">
        <v>59.25266970401756</v>
      </c>
      <c r="N7" t="n">
        <v>10.12041796405029</v>
      </c>
    </row>
    <row r="8">
      <c r="A8" t="n">
        <v>7</v>
      </c>
      <c r="B8" t="inlineStr">
        <is>
          <t>กรกฎาคม</t>
        </is>
      </c>
      <c r="C8" t="inlineStr">
        <is>
          <t>Jul</t>
        </is>
      </c>
      <c r="D8" t="n">
        <v>3883.9575</v>
      </c>
      <c r="E8" t="n">
        <v>3883957.5</v>
      </c>
      <c r="F8" t="n">
        <v>1152470</v>
      </c>
      <c r="G8" t="n">
        <v>40336450</v>
      </c>
      <c r="H8" t="n">
        <v>3069.5</v>
      </c>
      <c r="I8" t="n">
        <v>3069500</v>
      </c>
      <c r="J8" t="n">
        <v>906822.75</v>
      </c>
      <c r="K8" t="n">
        <v>31064622.94065237</v>
      </c>
      <c r="L8" t="n">
        <v>9271827.05934763</v>
      </c>
      <c r="M8" t="n">
        <v>22.98622476531184</v>
      </c>
      <c r="N8" t="n">
        <v>10.12041796405029</v>
      </c>
    </row>
    <row r="9">
      <c r="A9" t="n">
        <v>8</v>
      </c>
      <c r="B9" t="inlineStr">
        <is>
          <t>สิงหาคม</t>
        </is>
      </c>
      <c r="C9" t="inlineStr">
        <is>
          <t>Aug</t>
        </is>
      </c>
      <c r="D9" t="n">
        <v>3768.6361</v>
      </c>
      <c r="E9" t="n">
        <v>3768636.1</v>
      </c>
      <c r="F9" t="n">
        <v>1056446.81</v>
      </c>
      <c r="G9" t="n">
        <v>36975638.35</v>
      </c>
      <c r="H9" t="n">
        <v>2566.9275</v>
      </c>
      <c r="I9" t="n">
        <v>2566927.5</v>
      </c>
      <c r="J9" t="n">
        <v>757735.7397</v>
      </c>
      <c r="K9" t="n">
        <v>25978379.18341471</v>
      </c>
      <c r="L9" t="n">
        <v>10997259.1665853</v>
      </c>
      <c r="M9" t="n">
        <v>29.74190482524907</v>
      </c>
      <c r="N9" t="n">
        <v>10.12041796405029</v>
      </c>
    </row>
    <row r="10">
      <c r="A10" t="n">
        <v>9</v>
      </c>
      <c r="B10" t="inlineStr">
        <is>
          <t>กันยายน</t>
        </is>
      </c>
      <c r="C10" t="inlineStr">
        <is>
          <t>Sep</t>
        </is>
      </c>
      <c r="D10" t="n">
        <v>2437.0769</v>
      </c>
      <c r="E10" t="n">
        <v>2437076.9</v>
      </c>
      <c r="F10" t="n">
        <v>689541</v>
      </c>
      <c r="G10" t="n">
        <v>24133935</v>
      </c>
      <c r="H10" t="n">
        <v>1624.542499999999</v>
      </c>
      <c r="I10" t="n">
        <v>1624542.499999999</v>
      </c>
      <c r="J10" t="n">
        <v>478253.8718999998</v>
      </c>
      <c r="K10" t="n">
        <v>16441049.10036316</v>
      </c>
      <c r="L10" t="n">
        <v>7692885.899636839</v>
      </c>
      <c r="M10" t="n">
        <v>31.87580433790361</v>
      </c>
      <c r="N10" t="n">
        <v>10.12041796405029</v>
      </c>
    </row>
    <row r="11">
      <c r="A11" t="n">
        <v>10</v>
      </c>
      <c r="B11" t="inlineStr">
        <is>
          <t>ตุลาคม</t>
        </is>
      </c>
      <c r="C11" t="inlineStr">
        <is>
          <t>Oct</t>
        </is>
      </c>
      <c r="D11" t="n">
        <v>2009.7427</v>
      </c>
      <c r="E11" t="n">
        <v>2009742.7</v>
      </c>
      <c r="F11" t="n">
        <v>580650</v>
      </c>
      <c r="G11" t="n">
        <v>20322750</v>
      </c>
      <c r="H11" t="n">
        <v>1080.615</v>
      </c>
      <c r="I11" t="n">
        <v>1080615</v>
      </c>
      <c r="J11" t="n">
        <v>317911.3422000001</v>
      </c>
      <c r="K11" t="n">
        <v>10936275.45822221</v>
      </c>
      <c r="L11" t="n">
        <v>9386474.541777793</v>
      </c>
      <c r="M11" t="n">
        <v>46.18702952000981</v>
      </c>
      <c r="N11" t="n">
        <v>10.12041796405029</v>
      </c>
    </row>
    <row r="12">
      <c r="A12" t="n">
        <v>11</v>
      </c>
      <c r="B12" t="inlineStr">
        <is>
          <t>พฤศจิกายน</t>
        </is>
      </c>
      <c r="C12" t="inlineStr">
        <is>
          <t>Nov</t>
        </is>
      </c>
      <c r="D12" t="n">
        <v>911.1857</v>
      </c>
      <c r="E12" t="n">
        <v>911185.7</v>
      </c>
      <c r="F12" t="n">
        <v>262273.42</v>
      </c>
      <c r="G12" t="n">
        <v>9179569.699999999</v>
      </c>
      <c r="H12" t="n">
        <v>496.4249999999991</v>
      </c>
      <c r="I12" t="n">
        <v>496424.9999999991</v>
      </c>
      <c r="J12" t="n">
        <v>146243.3789999998</v>
      </c>
      <c r="K12" t="n">
        <v>5024028.487803658</v>
      </c>
      <c r="L12" t="n">
        <v>4155541.212196342</v>
      </c>
      <c r="M12" t="n">
        <v>45.26945541027203</v>
      </c>
      <c r="N12" t="n">
        <v>10.12041796405029</v>
      </c>
    </row>
    <row r="13">
      <c r="A13" t="n">
        <v>12</v>
      </c>
      <c r="B13" t="inlineStr">
        <is>
          <t>ธันวาคม</t>
        </is>
      </c>
      <c r="C13" t="inlineStr">
        <is>
          <t>Dec</t>
        </is>
      </c>
      <c r="D13" t="n">
        <v>1115.4852</v>
      </c>
      <c r="E13" t="n">
        <v>1115485.2</v>
      </c>
      <c r="F13" t="n">
        <v>321539</v>
      </c>
      <c r="G13" t="n">
        <v>11253865</v>
      </c>
      <c r="H13" t="n">
        <v>1500.8675</v>
      </c>
      <c r="I13" t="n">
        <v>1500867.5</v>
      </c>
      <c r="J13" t="n">
        <v>442513.8129000001</v>
      </c>
      <c r="K13" t="n">
        <v>15189406.40865925</v>
      </c>
      <c r="L13" t="n">
        <v>-3935541.408659251</v>
      </c>
      <c r="M13" t="n">
        <v>-34.9705759635401</v>
      </c>
      <c r="N13" t="n">
        <v>10.12041796405029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P_115kV_Current_MW</t>
        </is>
      </c>
      <c r="C1" t="inlineStr">
        <is>
          <t>Limit_115kV_MW</t>
        </is>
      </c>
      <c r="D1" t="inlineStr">
        <is>
          <t>Headroom_115kV_MW</t>
        </is>
      </c>
      <c r="E1" t="inlineStr">
        <is>
          <t>Load_KoTao_MW</t>
        </is>
      </c>
      <c r="F1" t="inlineStr">
        <is>
          <t>need_B_raw</t>
        </is>
      </c>
      <c r="G1" t="inlineStr">
        <is>
          <t>DG_state</t>
        </is>
      </c>
      <c r="H1" t="inlineStr">
        <is>
          <t>Mode_raw</t>
        </is>
      </c>
      <c r="I1" t="inlineStr">
        <is>
          <t>Mode_final</t>
        </is>
      </c>
      <c r="J1" t="inlineStr">
        <is>
          <t>Sub_MW</t>
        </is>
      </c>
      <c r="K1" t="inlineStr">
        <is>
          <t>DG_NamSaeng_MW</t>
        </is>
      </c>
      <c r="L1" t="inlineStr">
        <is>
          <t>DG_PEA_MW</t>
        </is>
      </c>
      <c r="M1" t="inlineStr">
        <is>
          <t>DG_Mobile_MW</t>
        </is>
      </c>
      <c r="N1" t="inlineStr">
        <is>
          <t>DG_Total_MW</t>
        </is>
      </c>
      <c r="O1" t="inlineStr">
        <is>
          <t>LoadShed_MW</t>
        </is>
      </c>
      <c r="P1" t="inlineStr">
        <is>
          <t>DG_PEA_unit1_MW</t>
        </is>
      </c>
      <c r="Q1" t="inlineStr">
        <is>
          <t>DG_PEA_unit2_MW</t>
        </is>
      </c>
      <c r="R1" t="inlineStr">
        <is>
          <t>DG_PEA_unit3_MW</t>
        </is>
      </c>
      <c r="S1" t="inlineStr">
        <is>
          <t>DG_PEA_unit4_MW</t>
        </is>
      </c>
      <c r="T1" t="inlineStr">
        <is>
          <t>DG_PEA_unit5_MW</t>
        </is>
      </c>
      <c r="U1" t="inlineStr">
        <is>
          <t>DG_PEA_unit6_MW</t>
        </is>
      </c>
      <c r="V1" t="inlineStr">
        <is>
          <t>PEA_units_on</t>
        </is>
      </c>
      <c r="W1" t="inlineStr">
        <is>
          <t>DG_Mobile_unit1_MW</t>
        </is>
      </c>
      <c r="X1" t="inlineStr">
        <is>
          <t>DG_Mobile_unit2_MW</t>
        </is>
      </c>
      <c r="Y1" t="inlineStr">
        <is>
          <t>Mobile_units_on</t>
        </is>
      </c>
      <c r="Z1" t="inlineStr">
        <is>
          <t>Fuel_L</t>
        </is>
      </c>
      <c r="AA1" t="inlineStr">
        <is>
          <t>Fuel_Idle_L</t>
        </is>
      </c>
      <c r="AB1" t="inlineStr">
        <is>
          <t>Fuel_Load_L</t>
        </is>
      </c>
      <c r="AC1" t="inlineStr">
        <is>
          <t>FuelCost_THB</t>
        </is>
      </c>
      <c r="AD1" t="inlineStr">
        <is>
          <t>DG_kWh</t>
        </is>
      </c>
      <c r="AE1" t="inlineStr">
        <is>
          <t>AllIn_THB_per_kWh</t>
        </is>
      </c>
      <c r="AF1" t="inlineStr">
        <is>
          <t>FuelCostProxy_THB</t>
        </is>
      </c>
    </row>
    <row r="2">
      <c r="A2" s="23" t="n">
        <v>46016</v>
      </c>
      <c r="B2" t="n">
        <v>48.09</v>
      </c>
      <c r="C2" t="n">
        <v>64.09999999999999</v>
      </c>
      <c r="D2" t="n">
        <v>16.00999999999999</v>
      </c>
      <c r="E2" t="n">
        <v>5.390000000000048</v>
      </c>
      <c r="F2" t="b">
        <v>0</v>
      </c>
      <c r="G2" t="b">
        <v>0</v>
      </c>
      <c r="H2" t="inlineStr">
        <is>
          <t>A</t>
        </is>
      </c>
      <c r="I2" t="inlineStr">
        <is>
          <t>A</t>
        </is>
      </c>
      <c r="J2" t="n">
        <v>5.390000000000048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10.12</v>
      </c>
      <c r="AF2" t="n">
        <v>0</v>
      </c>
    </row>
    <row r="3">
      <c r="A3" s="23" t="n">
        <v>46016.01041666666</v>
      </c>
      <c r="B3" t="n">
        <v>46.54</v>
      </c>
      <c r="C3" t="n">
        <v>64.09999999999999</v>
      </c>
      <c r="D3" t="n">
        <v>17.56</v>
      </c>
      <c r="E3" t="n">
        <v>5.280000000000011</v>
      </c>
      <c r="F3" t="b">
        <v>0</v>
      </c>
      <c r="G3" t="b">
        <v>0</v>
      </c>
      <c r="H3" t="inlineStr">
        <is>
          <t>A</t>
        </is>
      </c>
      <c r="I3" t="inlineStr">
        <is>
          <t>A</t>
        </is>
      </c>
      <c r="J3" t="n">
        <v>5.280000000000011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10.12</v>
      </c>
      <c r="AF3" t="n">
        <v>0</v>
      </c>
    </row>
    <row r="4">
      <c r="A4" s="23" t="n">
        <v>46016.02083333334</v>
      </c>
      <c r="B4" t="n">
        <v>45.44</v>
      </c>
      <c r="C4" t="n">
        <v>64.09999999999999</v>
      </c>
      <c r="D4" t="n">
        <v>18.66</v>
      </c>
      <c r="E4" t="n">
        <v>5.180000000000004</v>
      </c>
      <c r="F4" t="b">
        <v>0</v>
      </c>
      <c r="G4" t="b">
        <v>0</v>
      </c>
      <c r="H4" t="inlineStr">
        <is>
          <t>A</t>
        </is>
      </c>
      <c r="I4" t="inlineStr">
        <is>
          <t>A</t>
        </is>
      </c>
      <c r="J4" t="n">
        <v>5.180000000000004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10.12</v>
      </c>
      <c r="AF4" t="n">
        <v>0</v>
      </c>
    </row>
    <row r="5">
      <c r="A5" s="23" t="n">
        <v>46016.03125</v>
      </c>
      <c r="B5" t="n">
        <v>44.48</v>
      </c>
      <c r="C5" t="n">
        <v>64.09999999999999</v>
      </c>
      <c r="D5" t="n">
        <v>19.62</v>
      </c>
      <c r="E5" t="n">
        <v>5.130000000000086</v>
      </c>
      <c r="F5" t="b">
        <v>0</v>
      </c>
      <c r="G5" t="b">
        <v>0</v>
      </c>
      <c r="H5" t="inlineStr">
        <is>
          <t>A</t>
        </is>
      </c>
      <c r="I5" t="inlineStr">
        <is>
          <t>A</t>
        </is>
      </c>
      <c r="J5" t="n">
        <v>5.130000000000086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10.12</v>
      </c>
      <c r="AF5" t="n">
        <v>0</v>
      </c>
    </row>
    <row r="6">
      <c r="A6" s="23" t="n">
        <v>46016.04166666666</v>
      </c>
      <c r="B6" t="n">
        <v>44</v>
      </c>
      <c r="C6" t="n">
        <v>64.09999999999999</v>
      </c>
      <c r="D6" t="n">
        <v>20.09999999999999</v>
      </c>
      <c r="E6" t="n">
        <v>5.130000000000086</v>
      </c>
      <c r="F6" t="b">
        <v>0</v>
      </c>
      <c r="G6" t="b">
        <v>0</v>
      </c>
      <c r="H6" t="inlineStr">
        <is>
          <t>A</t>
        </is>
      </c>
      <c r="I6" t="inlineStr">
        <is>
          <t>A</t>
        </is>
      </c>
      <c r="J6" t="n">
        <v>5.130000000000086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10.12</v>
      </c>
      <c r="AF6" t="n">
        <v>0</v>
      </c>
    </row>
    <row r="7">
      <c r="A7" s="23" t="n">
        <v>46016.05208333334</v>
      </c>
      <c r="B7" t="n">
        <v>42.96</v>
      </c>
      <c r="C7" t="n">
        <v>64.09999999999999</v>
      </c>
      <c r="D7" t="n">
        <v>21.13999999999999</v>
      </c>
      <c r="E7" t="n">
        <v>4.979999999999936</v>
      </c>
      <c r="F7" t="b">
        <v>0</v>
      </c>
      <c r="G7" t="b">
        <v>0</v>
      </c>
      <c r="H7" t="inlineStr">
        <is>
          <t>A</t>
        </is>
      </c>
      <c r="I7" t="inlineStr">
        <is>
          <t>A</t>
        </is>
      </c>
      <c r="J7" t="n">
        <v>4.979999999999936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10.12</v>
      </c>
      <c r="AF7" t="n">
        <v>0</v>
      </c>
    </row>
    <row r="8">
      <c r="A8" s="23" t="n">
        <v>46016.0625</v>
      </c>
      <c r="B8" t="n">
        <v>42.03</v>
      </c>
      <c r="C8" t="n">
        <v>64.09999999999999</v>
      </c>
      <c r="D8" t="n">
        <v>22.06999999999999</v>
      </c>
      <c r="E8" t="n">
        <v>4.890000000000018</v>
      </c>
      <c r="F8" t="b">
        <v>0</v>
      </c>
      <c r="G8" t="b">
        <v>0</v>
      </c>
      <c r="H8" t="inlineStr">
        <is>
          <t>A</t>
        </is>
      </c>
      <c r="I8" t="inlineStr">
        <is>
          <t>A</t>
        </is>
      </c>
      <c r="J8" t="n">
        <v>4.890000000000018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10.12</v>
      </c>
      <c r="AF8" t="n">
        <v>0</v>
      </c>
    </row>
    <row r="9">
      <c r="A9" s="23" t="n">
        <v>46016.07291666666</v>
      </c>
      <c r="B9" t="n">
        <v>41.53</v>
      </c>
      <c r="C9" t="n">
        <v>64.09999999999999</v>
      </c>
      <c r="D9" t="n">
        <v>22.56999999999999</v>
      </c>
      <c r="E9" t="n">
        <v>4.880000000000085</v>
      </c>
      <c r="F9" t="b">
        <v>0</v>
      </c>
      <c r="G9" t="b">
        <v>0</v>
      </c>
      <c r="H9" t="inlineStr">
        <is>
          <t>A</t>
        </is>
      </c>
      <c r="I9" t="inlineStr">
        <is>
          <t>A</t>
        </is>
      </c>
      <c r="J9" t="n">
        <v>4.880000000000085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10.12</v>
      </c>
      <c r="AF9" t="n">
        <v>0</v>
      </c>
    </row>
    <row r="10">
      <c r="A10" s="23" t="n">
        <v>46016.08333333334</v>
      </c>
      <c r="B10" t="n">
        <v>40.64</v>
      </c>
      <c r="C10" t="n">
        <v>64.09999999999999</v>
      </c>
      <c r="D10" t="n">
        <v>23.45999999999999</v>
      </c>
      <c r="E10" t="n">
        <v>4.880000000000085</v>
      </c>
      <c r="F10" t="b">
        <v>0</v>
      </c>
      <c r="G10" t="b">
        <v>0</v>
      </c>
      <c r="H10" t="inlineStr">
        <is>
          <t>A</t>
        </is>
      </c>
      <c r="I10" t="inlineStr">
        <is>
          <t>A</t>
        </is>
      </c>
      <c r="J10" t="n">
        <v>4.880000000000085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10.12</v>
      </c>
      <c r="AF10" t="n">
        <v>0</v>
      </c>
    </row>
    <row r="11">
      <c r="A11" s="23" t="n">
        <v>46016.09375</v>
      </c>
      <c r="B11" t="n">
        <v>48.82</v>
      </c>
      <c r="C11" t="n">
        <v>64.09999999999999</v>
      </c>
      <c r="D11" t="n">
        <v>15.27999999999999</v>
      </c>
      <c r="E11" t="n">
        <v>4.890000000000018</v>
      </c>
      <c r="F11" t="b">
        <v>0</v>
      </c>
      <c r="G11" t="b">
        <v>0</v>
      </c>
      <c r="H11" t="inlineStr">
        <is>
          <t>A</t>
        </is>
      </c>
      <c r="I11" t="inlineStr">
        <is>
          <t>A</t>
        </is>
      </c>
      <c r="J11" t="n">
        <v>4.890000000000018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10.12</v>
      </c>
      <c r="AF11" t="n">
        <v>0</v>
      </c>
    </row>
    <row r="12">
      <c r="A12" s="23" t="n">
        <v>46016.10416666666</v>
      </c>
      <c r="B12" t="n">
        <v>48.24</v>
      </c>
      <c r="C12" t="n">
        <v>64.09999999999999</v>
      </c>
      <c r="D12" t="n">
        <v>15.85999999999999</v>
      </c>
      <c r="E12" t="n">
        <v>4.75</v>
      </c>
      <c r="F12" t="b">
        <v>0</v>
      </c>
      <c r="G12" t="b">
        <v>0</v>
      </c>
      <c r="H12" t="inlineStr">
        <is>
          <t>A</t>
        </is>
      </c>
      <c r="I12" t="inlineStr">
        <is>
          <t>A</t>
        </is>
      </c>
      <c r="J12" t="n">
        <v>4.75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10.12</v>
      </c>
      <c r="AF12" t="n">
        <v>0</v>
      </c>
    </row>
    <row r="13">
      <c r="A13" s="23" t="n">
        <v>46016.11458333334</v>
      </c>
      <c r="B13" t="n">
        <v>47.64</v>
      </c>
      <c r="C13" t="n">
        <v>64.09999999999999</v>
      </c>
      <c r="D13" t="n">
        <v>16.45999999999999</v>
      </c>
      <c r="E13" t="n">
        <v>4.880000000000085</v>
      </c>
      <c r="F13" t="b">
        <v>0</v>
      </c>
      <c r="G13" t="b">
        <v>0</v>
      </c>
      <c r="H13" t="inlineStr">
        <is>
          <t>A</t>
        </is>
      </c>
      <c r="I13" t="inlineStr">
        <is>
          <t>A</t>
        </is>
      </c>
      <c r="J13" t="n">
        <v>4.880000000000085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10.12</v>
      </c>
      <c r="AF13" t="n">
        <v>0</v>
      </c>
    </row>
    <row r="14">
      <c r="A14" s="23" t="n">
        <v>46016.125</v>
      </c>
      <c r="B14" t="n">
        <v>49.34</v>
      </c>
      <c r="C14" t="n">
        <v>64.09999999999999</v>
      </c>
      <c r="D14" t="n">
        <v>14.75999999999999</v>
      </c>
      <c r="E14" t="n">
        <v>4.869999999999916</v>
      </c>
      <c r="F14" t="b">
        <v>0</v>
      </c>
      <c r="G14" t="b">
        <v>0</v>
      </c>
      <c r="H14" t="inlineStr">
        <is>
          <t>A</t>
        </is>
      </c>
      <c r="I14" t="inlineStr">
        <is>
          <t>A</t>
        </is>
      </c>
      <c r="J14" t="n">
        <v>4.869999999999916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10.12</v>
      </c>
      <c r="AF14" t="n">
        <v>0</v>
      </c>
    </row>
    <row r="15">
      <c r="A15" s="23" t="n">
        <v>46016.13541666666</v>
      </c>
      <c r="B15" t="n">
        <v>48.84</v>
      </c>
      <c r="C15" t="n">
        <v>64.09999999999999</v>
      </c>
      <c r="D15" t="n">
        <v>15.25999999999999</v>
      </c>
      <c r="E15" t="n">
        <v>4.770000000000048</v>
      </c>
      <c r="F15" t="b">
        <v>0</v>
      </c>
      <c r="G15" t="b">
        <v>0</v>
      </c>
      <c r="H15" t="inlineStr">
        <is>
          <t>A</t>
        </is>
      </c>
      <c r="I15" t="inlineStr">
        <is>
          <t>A</t>
        </is>
      </c>
      <c r="J15" t="n">
        <v>4.770000000000048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10.12</v>
      </c>
      <c r="AF15" t="n">
        <v>0</v>
      </c>
    </row>
    <row r="16">
      <c r="A16" s="23" t="n">
        <v>46016.14583333334</v>
      </c>
      <c r="B16" t="n">
        <v>48.84</v>
      </c>
      <c r="C16" t="n">
        <v>64.09999999999999</v>
      </c>
      <c r="D16" t="n">
        <v>15.25999999999999</v>
      </c>
      <c r="E16" t="n">
        <v>4.850000000000002</v>
      </c>
      <c r="F16" t="b">
        <v>0</v>
      </c>
      <c r="G16" t="b">
        <v>0</v>
      </c>
      <c r="H16" t="inlineStr">
        <is>
          <t>A</t>
        </is>
      </c>
      <c r="I16" t="inlineStr">
        <is>
          <t>A</t>
        </is>
      </c>
      <c r="J16" t="n">
        <v>4.850000000000002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10.12</v>
      </c>
      <c r="AF16" t="n">
        <v>0</v>
      </c>
    </row>
    <row r="17">
      <c r="A17" s="23" t="n">
        <v>46016.15625</v>
      </c>
      <c r="B17" t="n">
        <v>48.26</v>
      </c>
      <c r="C17" t="n">
        <v>64.09999999999999</v>
      </c>
      <c r="D17" t="n">
        <v>15.84</v>
      </c>
      <c r="E17" t="n">
        <v>4.73999999999988</v>
      </c>
      <c r="F17" t="b">
        <v>0</v>
      </c>
      <c r="G17" t="b">
        <v>0</v>
      </c>
      <c r="H17" t="inlineStr">
        <is>
          <t>A</t>
        </is>
      </c>
      <c r="I17" t="inlineStr">
        <is>
          <t>A</t>
        </is>
      </c>
      <c r="J17" t="n">
        <v>4.73999999999988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10.12</v>
      </c>
      <c r="AF17" t="n">
        <v>0</v>
      </c>
    </row>
    <row r="18">
      <c r="A18" s="23" t="n">
        <v>46016.16666666666</v>
      </c>
      <c r="B18" t="n">
        <v>52.22</v>
      </c>
      <c r="C18" t="n">
        <v>64.09999999999999</v>
      </c>
      <c r="D18" t="n">
        <v>11.88</v>
      </c>
      <c r="E18" t="n">
        <v>4.73999999999988</v>
      </c>
      <c r="F18" t="b">
        <v>0</v>
      </c>
      <c r="G18" t="b">
        <v>0</v>
      </c>
      <c r="H18" t="inlineStr">
        <is>
          <t>A</t>
        </is>
      </c>
      <c r="I18" t="inlineStr">
        <is>
          <t>A</t>
        </is>
      </c>
      <c r="J18" t="n">
        <v>4.73999999999988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10.12</v>
      </c>
      <c r="AF18" t="n">
        <v>0</v>
      </c>
    </row>
    <row r="19">
      <c r="A19" s="23" t="n">
        <v>46016.17708333334</v>
      </c>
      <c r="B19" t="n">
        <v>52.22</v>
      </c>
      <c r="C19" t="n">
        <v>64.09999999999999</v>
      </c>
      <c r="D19" t="n">
        <v>11.88</v>
      </c>
      <c r="E19" t="n">
        <v>4.859999999999983</v>
      </c>
      <c r="F19" t="b">
        <v>0</v>
      </c>
      <c r="G19" t="b">
        <v>0</v>
      </c>
      <c r="H19" t="inlineStr">
        <is>
          <t>A</t>
        </is>
      </c>
      <c r="I19" t="inlineStr">
        <is>
          <t>A</t>
        </is>
      </c>
      <c r="J19" t="n">
        <v>4.859999999999983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10.12</v>
      </c>
      <c r="AF19" t="n">
        <v>0</v>
      </c>
    </row>
    <row r="20">
      <c r="A20" s="23" t="n">
        <v>46016.1875</v>
      </c>
      <c r="B20" t="n">
        <v>52.22</v>
      </c>
      <c r="C20" t="n">
        <v>64.09999999999999</v>
      </c>
      <c r="D20" t="n">
        <v>11.88</v>
      </c>
      <c r="E20" t="n">
        <v>4.859999999999983</v>
      </c>
      <c r="F20" t="b">
        <v>0</v>
      </c>
      <c r="G20" t="b">
        <v>0</v>
      </c>
      <c r="H20" t="inlineStr">
        <is>
          <t>A</t>
        </is>
      </c>
      <c r="I20" t="inlineStr">
        <is>
          <t>A</t>
        </is>
      </c>
      <c r="J20" t="n">
        <v>4.859999999999983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10.12</v>
      </c>
      <c r="AF20" t="n">
        <v>0</v>
      </c>
    </row>
    <row r="21">
      <c r="A21" s="23" t="n">
        <v>46016.19791666666</v>
      </c>
      <c r="B21" t="n">
        <v>52.2</v>
      </c>
      <c r="C21" t="n">
        <v>64.09999999999999</v>
      </c>
      <c r="D21" t="n">
        <v>11.89999999999999</v>
      </c>
      <c r="E21" t="n">
        <v>4.869999999999916</v>
      </c>
      <c r="F21" t="b">
        <v>0</v>
      </c>
      <c r="G21" t="b">
        <v>0</v>
      </c>
      <c r="H21" t="inlineStr">
        <is>
          <t>A</t>
        </is>
      </c>
      <c r="I21" t="inlineStr">
        <is>
          <t>A</t>
        </is>
      </c>
      <c r="J21" t="n">
        <v>4.869999999999916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10.12</v>
      </c>
      <c r="AF21" t="n">
        <v>0</v>
      </c>
    </row>
    <row r="22">
      <c r="A22" s="23" t="n">
        <v>46016.20833333334</v>
      </c>
      <c r="B22" t="n">
        <v>54.45</v>
      </c>
      <c r="C22" t="n">
        <v>64.09999999999999</v>
      </c>
      <c r="D22" t="n">
        <v>9.649999999999991</v>
      </c>
      <c r="E22" t="n">
        <v>4.869999999999916</v>
      </c>
      <c r="F22" t="b">
        <v>0</v>
      </c>
      <c r="G22" t="b">
        <v>0</v>
      </c>
      <c r="H22" t="inlineStr">
        <is>
          <t>A</t>
        </is>
      </c>
      <c r="I22" t="inlineStr">
        <is>
          <t>A</t>
        </is>
      </c>
      <c r="J22" t="n">
        <v>4.869999999999916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10.12</v>
      </c>
      <c r="AF22" t="n">
        <v>0</v>
      </c>
    </row>
    <row r="23">
      <c r="A23" s="23" t="n">
        <v>46016.21875</v>
      </c>
      <c r="B23" t="n">
        <v>55.02</v>
      </c>
      <c r="C23" t="n">
        <v>64.09999999999999</v>
      </c>
      <c r="D23" t="n">
        <v>9.079999999999991</v>
      </c>
      <c r="E23" t="n">
        <v>4.850000000000002</v>
      </c>
      <c r="F23" t="b">
        <v>0</v>
      </c>
      <c r="G23" t="b">
        <v>0</v>
      </c>
      <c r="H23" t="inlineStr">
        <is>
          <t>A</t>
        </is>
      </c>
      <c r="I23" t="inlineStr">
        <is>
          <t>A</t>
        </is>
      </c>
      <c r="J23" t="n">
        <v>4.850000000000002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10.12</v>
      </c>
      <c r="AF23" t="n">
        <v>0</v>
      </c>
    </row>
    <row r="24">
      <c r="A24" s="23" t="n">
        <v>46016.22916666666</v>
      </c>
      <c r="B24" t="n">
        <v>55.64</v>
      </c>
      <c r="C24" t="n">
        <v>64.09999999999999</v>
      </c>
      <c r="D24" t="n">
        <v>8.459999999999994</v>
      </c>
      <c r="E24" t="n">
        <v>4.840000000000068</v>
      </c>
      <c r="F24" t="b">
        <v>0</v>
      </c>
      <c r="G24" t="b">
        <v>0</v>
      </c>
      <c r="H24" t="inlineStr">
        <is>
          <t>A</t>
        </is>
      </c>
      <c r="I24" t="inlineStr">
        <is>
          <t>A</t>
        </is>
      </c>
      <c r="J24" t="n">
        <v>4.840000000000068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10.12</v>
      </c>
      <c r="AF24" t="n">
        <v>0</v>
      </c>
    </row>
    <row r="25">
      <c r="A25" s="23" t="n">
        <v>46016.23958333334</v>
      </c>
      <c r="B25" t="n">
        <v>55.64</v>
      </c>
      <c r="C25" t="n">
        <v>64.09999999999999</v>
      </c>
      <c r="D25" t="n">
        <v>8.459999999999994</v>
      </c>
      <c r="E25" t="n">
        <v>4.840000000000068</v>
      </c>
      <c r="F25" t="b">
        <v>0</v>
      </c>
      <c r="G25" t="b">
        <v>0</v>
      </c>
      <c r="H25" t="inlineStr">
        <is>
          <t>A</t>
        </is>
      </c>
      <c r="I25" t="inlineStr">
        <is>
          <t>A</t>
        </is>
      </c>
      <c r="J25" t="n">
        <v>4.840000000000068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10.12</v>
      </c>
      <c r="AF25" t="n">
        <v>0</v>
      </c>
    </row>
    <row r="26">
      <c r="A26" s="23" t="n">
        <v>46016.25</v>
      </c>
      <c r="B26" t="n">
        <v>56.23</v>
      </c>
      <c r="C26" t="n">
        <v>64.09999999999999</v>
      </c>
      <c r="D26" t="n">
        <v>7.869999999999997</v>
      </c>
      <c r="E26" t="n">
        <v>4.850000000000002</v>
      </c>
      <c r="F26" t="b">
        <v>0</v>
      </c>
      <c r="G26" t="b">
        <v>0</v>
      </c>
      <c r="H26" t="inlineStr">
        <is>
          <t>A</t>
        </is>
      </c>
      <c r="I26" t="inlineStr">
        <is>
          <t>A</t>
        </is>
      </c>
      <c r="J26" t="n">
        <v>4.850000000000002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10.12</v>
      </c>
      <c r="AF26" t="n">
        <v>0</v>
      </c>
    </row>
    <row r="27">
      <c r="A27" s="23" t="n">
        <v>46016.26041666666</v>
      </c>
      <c r="B27" t="n">
        <v>53.12</v>
      </c>
      <c r="C27" t="n">
        <v>64.09999999999999</v>
      </c>
      <c r="D27" t="n">
        <v>10.98</v>
      </c>
      <c r="E27" t="n">
        <v>4.939999999999971</v>
      </c>
      <c r="F27" t="b">
        <v>0</v>
      </c>
      <c r="G27" t="b">
        <v>0</v>
      </c>
      <c r="H27" t="inlineStr">
        <is>
          <t>A</t>
        </is>
      </c>
      <c r="I27" t="inlineStr">
        <is>
          <t>A</t>
        </is>
      </c>
      <c r="J27" t="n">
        <v>4.939999999999971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10.12</v>
      </c>
      <c r="AF27" t="n">
        <v>0</v>
      </c>
    </row>
    <row r="28">
      <c r="A28" s="23" t="n">
        <v>46016.27083333334</v>
      </c>
      <c r="B28" t="n">
        <v>52.9</v>
      </c>
      <c r="C28" t="n">
        <v>64.09999999999999</v>
      </c>
      <c r="D28" t="n">
        <v>11.2</v>
      </c>
      <c r="E28" t="n">
        <v>4.939999999999971</v>
      </c>
      <c r="F28" t="b">
        <v>0</v>
      </c>
      <c r="G28" t="b">
        <v>0</v>
      </c>
      <c r="H28" t="inlineStr">
        <is>
          <t>A</t>
        </is>
      </c>
      <c r="I28" t="inlineStr">
        <is>
          <t>A</t>
        </is>
      </c>
      <c r="J28" t="n">
        <v>4.939999999999971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10.12</v>
      </c>
      <c r="AF28" t="n">
        <v>0</v>
      </c>
    </row>
    <row r="29">
      <c r="A29" s="23" t="n">
        <v>46016.28125</v>
      </c>
      <c r="B29" t="n">
        <v>52.88</v>
      </c>
      <c r="C29" t="n">
        <v>64.09999999999999</v>
      </c>
      <c r="D29" t="n">
        <v>11.21999999999999</v>
      </c>
      <c r="E29" t="n">
        <v>5.039999999999969</v>
      </c>
      <c r="F29" t="b">
        <v>0</v>
      </c>
      <c r="G29" t="b">
        <v>0</v>
      </c>
      <c r="H29" t="inlineStr">
        <is>
          <t>A</t>
        </is>
      </c>
      <c r="I29" t="inlineStr">
        <is>
          <t>A</t>
        </is>
      </c>
      <c r="J29" t="n">
        <v>5.039999999999969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10.12</v>
      </c>
      <c r="AF29" t="n">
        <v>0</v>
      </c>
    </row>
    <row r="30">
      <c r="A30" s="23" t="n">
        <v>46016.29166666666</v>
      </c>
      <c r="B30" t="n">
        <v>45.45</v>
      </c>
      <c r="C30" t="n">
        <v>64.09999999999999</v>
      </c>
      <c r="D30" t="n">
        <v>18.64999999999999</v>
      </c>
      <c r="E30" t="n">
        <v>5.25</v>
      </c>
      <c r="F30" t="b">
        <v>0</v>
      </c>
      <c r="G30" t="b">
        <v>0</v>
      </c>
      <c r="H30" t="inlineStr">
        <is>
          <t>A</t>
        </is>
      </c>
      <c r="I30" t="inlineStr">
        <is>
          <t>A</t>
        </is>
      </c>
      <c r="J30" t="n">
        <v>5.25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10.12</v>
      </c>
      <c r="AF30" t="n">
        <v>0</v>
      </c>
    </row>
    <row r="31">
      <c r="A31" s="23" t="n">
        <v>46016.30208333334</v>
      </c>
      <c r="B31" t="n">
        <v>44.37</v>
      </c>
      <c r="C31" t="n">
        <v>64.09999999999999</v>
      </c>
      <c r="D31" t="n">
        <v>19.73</v>
      </c>
      <c r="E31" t="n">
        <v>5.550000000000103</v>
      </c>
      <c r="F31" t="b">
        <v>0</v>
      </c>
      <c r="G31" t="b">
        <v>0</v>
      </c>
      <c r="H31" t="inlineStr">
        <is>
          <t>A</t>
        </is>
      </c>
      <c r="I31" t="inlineStr">
        <is>
          <t>A</t>
        </is>
      </c>
      <c r="J31" t="n">
        <v>5.550000000000103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10.12</v>
      </c>
      <c r="AF31" t="n">
        <v>0</v>
      </c>
    </row>
    <row r="32">
      <c r="A32" s="23" t="n">
        <v>46016.3125</v>
      </c>
      <c r="B32" t="n">
        <v>44.84</v>
      </c>
      <c r="C32" t="n">
        <v>64.09999999999999</v>
      </c>
      <c r="D32" t="n">
        <v>19.25999999999999</v>
      </c>
      <c r="E32" t="n">
        <v>5.550000000000103</v>
      </c>
      <c r="F32" t="b">
        <v>0</v>
      </c>
      <c r="G32" t="b">
        <v>0</v>
      </c>
      <c r="H32" t="inlineStr">
        <is>
          <t>A</t>
        </is>
      </c>
      <c r="I32" t="inlineStr">
        <is>
          <t>A</t>
        </is>
      </c>
      <c r="J32" t="n">
        <v>5.550000000000103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10.12</v>
      </c>
      <c r="AF32" t="n">
        <v>0</v>
      </c>
    </row>
    <row r="33">
      <c r="A33" s="23" t="n">
        <v>46016.32291666666</v>
      </c>
      <c r="B33" t="n">
        <v>46.37</v>
      </c>
      <c r="C33" t="n">
        <v>64.09999999999999</v>
      </c>
      <c r="D33" t="n">
        <v>17.73</v>
      </c>
      <c r="E33" t="n">
        <v>5.779999999999988</v>
      </c>
      <c r="F33" t="b">
        <v>0</v>
      </c>
      <c r="G33" t="b">
        <v>0</v>
      </c>
      <c r="H33" t="inlineStr">
        <is>
          <t>A</t>
        </is>
      </c>
      <c r="I33" t="inlineStr">
        <is>
          <t>A</t>
        </is>
      </c>
      <c r="J33" t="n">
        <v>5.779999999999988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10.12</v>
      </c>
      <c r="AF33" t="n">
        <v>0</v>
      </c>
    </row>
    <row r="34">
      <c r="A34" s="23" t="n">
        <v>46016.33333333334</v>
      </c>
      <c r="B34" t="n">
        <v>48.46</v>
      </c>
      <c r="C34" t="n">
        <v>64.09999999999999</v>
      </c>
      <c r="D34" t="n">
        <v>15.63999999999999</v>
      </c>
      <c r="E34" t="n">
        <v>5.960000000000032</v>
      </c>
      <c r="F34" t="b">
        <v>0</v>
      </c>
      <c r="G34" t="b">
        <v>0</v>
      </c>
      <c r="H34" t="inlineStr">
        <is>
          <t>A</t>
        </is>
      </c>
      <c r="I34" t="inlineStr">
        <is>
          <t>A</t>
        </is>
      </c>
      <c r="J34" t="n">
        <v>5.960000000000032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10.12</v>
      </c>
      <c r="AF34" t="n">
        <v>0</v>
      </c>
    </row>
    <row r="35">
      <c r="A35" s="23" t="n">
        <v>46016.34375</v>
      </c>
      <c r="B35" t="n">
        <v>50.68</v>
      </c>
      <c r="C35" t="n">
        <v>64.09999999999999</v>
      </c>
      <c r="D35" t="n">
        <v>13.41999999999999</v>
      </c>
      <c r="E35" t="n">
        <v>6.180000000000051</v>
      </c>
      <c r="F35" t="b">
        <v>0</v>
      </c>
      <c r="G35" t="b">
        <v>0</v>
      </c>
      <c r="H35" t="inlineStr">
        <is>
          <t>A</t>
        </is>
      </c>
      <c r="I35" t="inlineStr">
        <is>
          <t>A</t>
        </is>
      </c>
      <c r="J35" t="n">
        <v>6.180000000000051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10.12</v>
      </c>
      <c r="AF35" t="n">
        <v>0</v>
      </c>
    </row>
    <row r="36">
      <c r="A36" s="23" t="n">
        <v>46016.35416666666</v>
      </c>
      <c r="B36" t="n">
        <v>53.44</v>
      </c>
      <c r="C36" t="n">
        <v>64.09999999999999</v>
      </c>
      <c r="D36" t="n">
        <v>10.66</v>
      </c>
      <c r="E36" t="n">
        <v>6.5</v>
      </c>
      <c r="F36" t="b">
        <v>0</v>
      </c>
      <c r="G36" t="b">
        <v>0</v>
      </c>
      <c r="H36" t="inlineStr">
        <is>
          <t>A</t>
        </is>
      </c>
      <c r="I36" t="inlineStr">
        <is>
          <t>A</t>
        </is>
      </c>
      <c r="J36" t="n">
        <v>6.5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10.12</v>
      </c>
      <c r="AF36" t="n">
        <v>0</v>
      </c>
    </row>
    <row r="37">
      <c r="A37" s="23" t="n">
        <v>46016.36458333334</v>
      </c>
      <c r="B37" t="n">
        <v>55.34</v>
      </c>
      <c r="C37" t="n">
        <v>64.09999999999999</v>
      </c>
      <c r="D37" t="n">
        <v>8.759999999999991</v>
      </c>
      <c r="E37" t="n">
        <v>6.380000000000091</v>
      </c>
      <c r="F37" t="b">
        <v>0</v>
      </c>
      <c r="G37" t="b">
        <v>0</v>
      </c>
      <c r="H37" t="inlineStr">
        <is>
          <t>A</t>
        </is>
      </c>
      <c r="I37" t="inlineStr">
        <is>
          <t>A</t>
        </is>
      </c>
      <c r="J37" t="n">
        <v>6.380000000000091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10.12</v>
      </c>
      <c r="AF37" t="n">
        <v>0</v>
      </c>
    </row>
    <row r="38">
      <c r="A38" s="23" t="n">
        <v>46016.375</v>
      </c>
      <c r="B38" t="n">
        <v>57.18</v>
      </c>
      <c r="C38" t="n">
        <v>64.09999999999999</v>
      </c>
      <c r="D38" t="n">
        <v>6.919999999999995</v>
      </c>
      <c r="E38" t="n">
        <v>6.5</v>
      </c>
      <c r="F38" t="b">
        <v>0</v>
      </c>
      <c r="G38" t="b">
        <v>0</v>
      </c>
      <c r="H38" t="inlineStr">
        <is>
          <t>A</t>
        </is>
      </c>
      <c r="I38" t="inlineStr">
        <is>
          <t>A</t>
        </is>
      </c>
      <c r="J38" t="n">
        <v>6.5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10.12</v>
      </c>
      <c r="AF38" t="n">
        <v>0</v>
      </c>
    </row>
    <row r="39">
      <c r="A39" s="23" t="n">
        <v>46016.38541666666</v>
      </c>
      <c r="B39" t="n">
        <v>58.5</v>
      </c>
      <c r="C39" t="n">
        <v>64.09999999999999</v>
      </c>
      <c r="D39" t="n">
        <v>5.599999999999994</v>
      </c>
      <c r="E39" t="n">
        <v>6.579999999999941</v>
      </c>
      <c r="F39" t="b">
        <v>1</v>
      </c>
      <c r="G39" t="b">
        <v>1</v>
      </c>
      <c r="H39" t="inlineStr">
        <is>
          <t>B</t>
        </is>
      </c>
      <c r="I39" t="inlineStr">
        <is>
          <t>B</t>
        </is>
      </c>
      <c r="J39" t="n">
        <v>1.579999999999941</v>
      </c>
      <c r="K39" t="n">
        <v>5</v>
      </c>
      <c r="L39" t="n">
        <v>0</v>
      </c>
      <c r="M39" t="n">
        <v>0</v>
      </c>
      <c r="N39" t="n">
        <v>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361.5</v>
      </c>
      <c r="AA39" t="n">
        <v>36.15</v>
      </c>
      <c r="AB39" t="n">
        <v>325.35</v>
      </c>
      <c r="AC39" t="n">
        <v>13541.79</v>
      </c>
      <c r="AD39" t="n">
        <v>1250</v>
      </c>
      <c r="AE39" t="n">
        <v>10.12</v>
      </c>
      <c r="AF39" t="n">
        <v>12650</v>
      </c>
    </row>
    <row r="40">
      <c r="A40" s="23" t="n">
        <v>46016.39583333334</v>
      </c>
      <c r="B40" t="n">
        <v>59.81</v>
      </c>
      <c r="C40" t="n">
        <v>64.09999999999999</v>
      </c>
      <c r="D40" t="n">
        <v>4.289999999999992</v>
      </c>
      <c r="E40" t="n">
        <v>6.510000000000146</v>
      </c>
      <c r="F40" t="b">
        <v>1</v>
      </c>
      <c r="G40" t="b">
        <v>1</v>
      </c>
      <c r="H40" t="inlineStr">
        <is>
          <t>B</t>
        </is>
      </c>
      <c r="I40" t="inlineStr">
        <is>
          <t>B</t>
        </is>
      </c>
      <c r="J40" t="n">
        <v>0.5100000000001463</v>
      </c>
      <c r="K40" t="n">
        <v>5</v>
      </c>
      <c r="L40" t="n">
        <v>1</v>
      </c>
      <c r="M40" t="n">
        <v>0</v>
      </c>
      <c r="N40" t="n">
        <v>6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441.03</v>
      </c>
      <c r="AA40" t="n">
        <v>50.61</v>
      </c>
      <c r="AB40" t="n">
        <v>390.42</v>
      </c>
      <c r="AC40" t="n">
        <v>16520.9838</v>
      </c>
      <c r="AD40" t="n">
        <v>1500</v>
      </c>
      <c r="AE40" t="n">
        <v>10.12</v>
      </c>
      <c r="AF40" t="n">
        <v>15180</v>
      </c>
    </row>
    <row r="41">
      <c r="A41" s="23" t="n">
        <v>46016.40625</v>
      </c>
      <c r="B41" t="n">
        <v>61.73</v>
      </c>
      <c r="C41" t="n">
        <v>64.09999999999999</v>
      </c>
      <c r="D41" t="n">
        <v>2.369999999999997</v>
      </c>
      <c r="E41" t="n">
        <v>6.6400000000001</v>
      </c>
      <c r="F41" t="b">
        <v>1</v>
      </c>
      <c r="G41" t="b">
        <v>1</v>
      </c>
      <c r="H41" t="inlineStr">
        <is>
          <t>B</t>
        </is>
      </c>
      <c r="I41" t="inlineStr">
        <is>
          <t>B</t>
        </is>
      </c>
      <c r="J41" t="n">
        <v>0.6400000000001</v>
      </c>
      <c r="K41" t="n">
        <v>5</v>
      </c>
      <c r="L41" t="n">
        <v>1</v>
      </c>
      <c r="M41" t="n">
        <v>0</v>
      </c>
      <c r="N41" t="n">
        <v>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441.03</v>
      </c>
      <c r="AA41" t="n">
        <v>50.61</v>
      </c>
      <c r="AB41" t="n">
        <v>390.42</v>
      </c>
      <c r="AC41" t="n">
        <v>16520.9838</v>
      </c>
      <c r="AD41" t="n">
        <v>1500</v>
      </c>
      <c r="AE41" t="n">
        <v>10.12</v>
      </c>
      <c r="AF41" t="n">
        <v>15180</v>
      </c>
    </row>
    <row r="42">
      <c r="A42" s="23" t="n">
        <v>46016.41666666666</v>
      </c>
      <c r="B42" t="n">
        <v>63.01</v>
      </c>
      <c r="C42" t="n">
        <v>64.09999999999999</v>
      </c>
      <c r="D42" t="n">
        <v>1.089999999999996</v>
      </c>
      <c r="E42" t="n">
        <v>6.720000000000045</v>
      </c>
      <c r="F42" t="b">
        <v>1</v>
      </c>
      <c r="G42" t="b">
        <v>1</v>
      </c>
      <c r="H42" t="inlineStr">
        <is>
          <t>B</t>
        </is>
      </c>
      <c r="I42" t="inlineStr">
        <is>
          <t>B</t>
        </is>
      </c>
      <c r="J42" t="n">
        <v>0.720000000000045</v>
      </c>
      <c r="K42" t="n">
        <v>5</v>
      </c>
      <c r="L42" t="n">
        <v>1</v>
      </c>
      <c r="M42" t="n">
        <v>0</v>
      </c>
      <c r="N42" t="n">
        <v>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441.03</v>
      </c>
      <c r="AA42" t="n">
        <v>50.61</v>
      </c>
      <c r="AB42" t="n">
        <v>390.42</v>
      </c>
      <c r="AC42" t="n">
        <v>16520.9838</v>
      </c>
      <c r="AD42" t="n">
        <v>1500</v>
      </c>
      <c r="AE42" t="n">
        <v>10.12</v>
      </c>
      <c r="AF42" t="n">
        <v>15180</v>
      </c>
    </row>
    <row r="43">
      <c r="A43" s="23" t="n">
        <v>46016.42708333334</v>
      </c>
      <c r="B43" t="n">
        <v>60.38</v>
      </c>
      <c r="C43" t="n">
        <v>64.09999999999999</v>
      </c>
      <c r="D43" t="n">
        <v>3.719999999999992</v>
      </c>
      <c r="E43" t="n">
        <v>6.829999999999941</v>
      </c>
      <c r="F43" t="b">
        <v>1</v>
      </c>
      <c r="G43" t="b">
        <v>1</v>
      </c>
      <c r="H43" t="inlineStr">
        <is>
          <t>B</t>
        </is>
      </c>
      <c r="I43" t="inlineStr">
        <is>
          <t>B</t>
        </is>
      </c>
      <c r="J43" t="n">
        <v>0.8299999999999406</v>
      </c>
      <c r="K43" t="n">
        <v>5</v>
      </c>
      <c r="L43" t="n">
        <v>1</v>
      </c>
      <c r="M43" t="n">
        <v>0</v>
      </c>
      <c r="N43" t="n">
        <v>6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441.03</v>
      </c>
      <c r="AA43" t="n">
        <v>50.61</v>
      </c>
      <c r="AB43" t="n">
        <v>390.42</v>
      </c>
      <c r="AC43" t="n">
        <v>16520.9838</v>
      </c>
      <c r="AD43" t="n">
        <v>1500</v>
      </c>
      <c r="AE43" t="n">
        <v>10.12</v>
      </c>
      <c r="AF43" t="n">
        <v>15180</v>
      </c>
    </row>
    <row r="44">
      <c r="A44" s="23" t="n">
        <v>46016.4375</v>
      </c>
      <c r="B44" t="n">
        <v>61.05</v>
      </c>
      <c r="C44" t="n">
        <v>64.09999999999999</v>
      </c>
      <c r="D44" t="n">
        <v>3.049999999999997</v>
      </c>
      <c r="E44" t="n">
        <v>7.029999999999945</v>
      </c>
      <c r="F44" t="b">
        <v>1</v>
      </c>
      <c r="G44" t="b">
        <v>1</v>
      </c>
      <c r="H44" t="inlineStr">
        <is>
          <t>B</t>
        </is>
      </c>
      <c r="I44" t="inlineStr">
        <is>
          <t>B</t>
        </is>
      </c>
      <c r="J44" t="n">
        <v>1.029999999999945</v>
      </c>
      <c r="K44" t="n">
        <v>5</v>
      </c>
      <c r="L44" t="n">
        <v>1</v>
      </c>
      <c r="M44" t="n">
        <v>0</v>
      </c>
      <c r="N44" t="n">
        <v>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441.03</v>
      </c>
      <c r="AA44" t="n">
        <v>50.61</v>
      </c>
      <c r="AB44" t="n">
        <v>390.42</v>
      </c>
      <c r="AC44" t="n">
        <v>16520.9838</v>
      </c>
      <c r="AD44" t="n">
        <v>1500</v>
      </c>
      <c r="AE44" t="n">
        <v>10.12</v>
      </c>
      <c r="AF44" t="n">
        <v>15180</v>
      </c>
    </row>
    <row r="45">
      <c r="A45" s="23" t="n">
        <v>46016.44791666666</v>
      </c>
      <c r="B45" t="n">
        <v>64.06999999999999</v>
      </c>
      <c r="C45" t="n">
        <v>64.09999999999999</v>
      </c>
      <c r="D45" t="n">
        <v>0.03000000000000114</v>
      </c>
      <c r="E45" t="n">
        <v>6.970000000000053</v>
      </c>
      <c r="F45" t="b">
        <v>1</v>
      </c>
      <c r="G45" t="b">
        <v>1</v>
      </c>
      <c r="H45" t="inlineStr">
        <is>
          <t>B</t>
        </is>
      </c>
      <c r="I45" t="inlineStr">
        <is>
          <t>B</t>
        </is>
      </c>
      <c r="J45" t="n">
        <v>0.03000000000000114</v>
      </c>
      <c r="K45" t="n">
        <v>5</v>
      </c>
      <c r="L45" t="n">
        <v>1</v>
      </c>
      <c r="M45" t="n">
        <v>0</v>
      </c>
      <c r="N45" t="n">
        <v>6</v>
      </c>
      <c r="O45" t="n">
        <v>0.9400000000000519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441.03</v>
      </c>
      <c r="AA45" t="n">
        <v>50.61</v>
      </c>
      <c r="AB45" t="n">
        <v>390.42</v>
      </c>
      <c r="AC45" t="n">
        <v>16520.9838</v>
      </c>
      <c r="AD45" t="n">
        <v>1500</v>
      </c>
      <c r="AE45" t="n">
        <v>10.12</v>
      </c>
      <c r="AF45" t="n">
        <v>15180</v>
      </c>
    </row>
    <row r="46">
      <c r="A46" s="23" t="n">
        <v>46016.45833333334</v>
      </c>
      <c r="B46" t="n">
        <v>62.65</v>
      </c>
      <c r="C46" t="n">
        <v>64.09999999999999</v>
      </c>
      <c r="D46" t="n">
        <v>1.449999999999996</v>
      </c>
      <c r="E46" t="n">
        <v>6.939999999999864</v>
      </c>
      <c r="F46" t="b">
        <v>1</v>
      </c>
      <c r="G46" t="b">
        <v>1</v>
      </c>
      <c r="H46" t="inlineStr">
        <is>
          <t>B</t>
        </is>
      </c>
      <c r="I46" t="inlineStr">
        <is>
          <t>B</t>
        </is>
      </c>
      <c r="J46" t="n">
        <v>0.9399999999998636</v>
      </c>
      <c r="K46" t="n">
        <v>5</v>
      </c>
      <c r="L46" t="n">
        <v>1</v>
      </c>
      <c r="M46" t="n">
        <v>0</v>
      </c>
      <c r="N46" t="n">
        <v>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441.03</v>
      </c>
      <c r="AA46" t="n">
        <v>50.61</v>
      </c>
      <c r="AB46" t="n">
        <v>390.42</v>
      </c>
      <c r="AC46" t="n">
        <v>16520.9838</v>
      </c>
      <c r="AD46" t="n">
        <v>1500</v>
      </c>
      <c r="AE46" t="n">
        <v>10.12</v>
      </c>
      <c r="AF46" t="n">
        <v>15180</v>
      </c>
    </row>
    <row r="47">
      <c r="A47" s="23" t="n">
        <v>46016.46875</v>
      </c>
      <c r="B47" t="n">
        <v>63.3</v>
      </c>
      <c r="C47" t="n">
        <v>64.09999999999999</v>
      </c>
      <c r="D47" t="n">
        <v>0.7999999999999972</v>
      </c>
      <c r="E47" t="n">
        <v>7.090000000000093</v>
      </c>
      <c r="F47" t="b">
        <v>1</v>
      </c>
      <c r="G47" t="b">
        <v>1</v>
      </c>
      <c r="H47" t="inlineStr">
        <is>
          <t>B</t>
        </is>
      </c>
      <c r="I47" t="inlineStr">
        <is>
          <t>B</t>
        </is>
      </c>
      <c r="J47" t="n">
        <v>0.7999999999999972</v>
      </c>
      <c r="K47" t="n">
        <v>5</v>
      </c>
      <c r="L47" t="n">
        <v>1</v>
      </c>
      <c r="M47" t="n">
        <v>0</v>
      </c>
      <c r="N47" t="n">
        <v>6</v>
      </c>
      <c r="O47" t="n">
        <v>0.290000000000096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441.03</v>
      </c>
      <c r="AA47" t="n">
        <v>50.61</v>
      </c>
      <c r="AB47" t="n">
        <v>390.42</v>
      </c>
      <c r="AC47" t="n">
        <v>16520.9838</v>
      </c>
      <c r="AD47" t="n">
        <v>1500</v>
      </c>
      <c r="AE47" t="n">
        <v>10.12</v>
      </c>
      <c r="AF47" t="n">
        <v>15180</v>
      </c>
    </row>
    <row r="48">
      <c r="A48" s="23" t="n">
        <v>46016.47916666666</v>
      </c>
      <c r="B48" t="n">
        <v>63.3</v>
      </c>
      <c r="C48" t="n">
        <v>64.09999999999999</v>
      </c>
      <c r="D48" t="n">
        <v>0.7999999999999972</v>
      </c>
      <c r="E48" t="n">
        <v>7.180000000000085</v>
      </c>
      <c r="F48" t="b">
        <v>1</v>
      </c>
      <c r="G48" t="b">
        <v>1</v>
      </c>
      <c r="H48" t="inlineStr">
        <is>
          <t>B</t>
        </is>
      </c>
      <c r="I48" t="inlineStr">
        <is>
          <t>B</t>
        </is>
      </c>
      <c r="J48" t="n">
        <v>0.7999999999999972</v>
      </c>
      <c r="K48" t="n">
        <v>5</v>
      </c>
      <c r="L48" t="n">
        <v>1</v>
      </c>
      <c r="M48" t="n">
        <v>0.3800000000000878</v>
      </c>
      <c r="N48" t="n">
        <v>6.380000000000088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0.3800000000000878</v>
      </c>
      <c r="X48" t="n">
        <v>0</v>
      </c>
      <c r="Y48" t="n">
        <v>1</v>
      </c>
      <c r="Z48" t="n">
        <v>472.9866000000057</v>
      </c>
      <c r="AA48" t="n">
        <v>57.84</v>
      </c>
      <c r="AB48" t="n">
        <v>415.1466000000057</v>
      </c>
      <c r="AC48" t="n">
        <v>17718.07803600021</v>
      </c>
      <c r="AD48" t="n">
        <v>1595.000000000022</v>
      </c>
      <c r="AE48" t="n">
        <v>10.12</v>
      </c>
      <c r="AF48" t="n">
        <v>16141.40000000022</v>
      </c>
    </row>
    <row r="49">
      <c r="A49" s="23" t="n">
        <v>46016.48958333334</v>
      </c>
      <c r="B49" t="n">
        <v>63.4</v>
      </c>
      <c r="C49" t="n">
        <v>64.09999999999999</v>
      </c>
      <c r="D49" t="n">
        <v>0.6999999999999957</v>
      </c>
      <c r="E49" t="n">
        <v>7.06000000000014</v>
      </c>
      <c r="F49" t="b">
        <v>1</v>
      </c>
      <c r="G49" t="b">
        <v>1</v>
      </c>
      <c r="H49" t="inlineStr">
        <is>
          <t>B</t>
        </is>
      </c>
      <c r="I49" t="inlineStr">
        <is>
          <t>B</t>
        </is>
      </c>
      <c r="J49" t="n">
        <v>0.6999999999999957</v>
      </c>
      <c r="K49" t="n">
        <v>5</v>
      </c>
      <c r="L49" t="n">
        <v>1</v>
      </c>
      <c r="M49" t="n">
        <v>0.3600000000001442</v>
      </c>
      <c r="N49" t="n">
        <v>6.360000000000144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0.3600000000001442</v>
      </c>
      <c r="X49" t="n">
        <v>0</v>
      </c>
      <c r="Y49" t="n">
        <v>1</v>
      </c>
      <c r="Z49" t="n">
        <v>471.6852000000093</v>
      </c>
      <c r="AA49" t="n">
        <v>57.84</v>
      </c>
      <c r="AB49" t="n">
        <v>413.8452000000094</v>
      </c>
      <c r="AC49" t="n">
        <v>17669.32759200035</v>
      </c>
      <c r="AD49" t="n">
        <v>1590.000000000036</v>
      </c>
      <c r="AE49" t="n">
        <v>10.12</v>
      </c>
      <c r="AF49" t="n">
        <v>16090.80000000036</v>
      </c>
    </row>
    <row r="50">
      <c r="A50" s="23" t="n">
        <v>46016.5</v>
      </c>
      <c r="B50" t="n">
        <v>63.4</v>
      </c>
      <c r="C50" t="n">
        <v>64.09999999999999</v>
      </c>
      <c r="D50" t="n">
        <v>0.6999999999999957</v>
      </c>
      <c r="E50" t="n">
        <v>7.039999999999967</v>
      </c>
      <c r="F50" t="b">
        <v>1</v>
      </c>
      <c r="G50" t="b">
        <v>1</v>
      </c>
      <c r="H50" t="inlineStr">
        <is>
          <t>B</t>
        </is>
      </c>
      <c r="I50" t="inlineStr">
        <is>
          <t>B</t>
        </is>
      </c>
      <c r="J50" t="n">
        <v>0.6999999999999957</v>
      </c>
      <c r="K50" t="n">
        <v>5</v>
      </c>
      <c r="L50" t="n">
        <v>1</v>
      </c>
      <c r="M50" t="n">
        <v>0.3399999999999714</v>
      </c>
      <c r="N50" t="n">
        <v>6.339999999999971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0.3399999999999714</v>
      </c>
      <c r="X50" t="n">
        <v>0</v>
      </c>
      <c r="Y50" t="n">
        <v>1</v>
      </c>
      <c r="Z50" t="n">
        <v>470.3837999999981</v>
      </c>
      <c r="AA50" t="n">
        <v>57.84</v>
      </c>
      <c r="AB50" t="n">
        <v>412.5437999999982</v>
      </c>
      <c r="AC50" t="n">
        <v>17620.57714799993</v>
      </c>
      <c r="AD50" t="n">
        <v>1584.999999999993</v>
      </c>
      <c r="AE50" t="n">
        <v>10.12</v>
      </c>
      <c r="AF50" t="n">
        <v>16040.19999999993</v>
      </c>
    </row>
    <row r="51">
      <c r="A51" s="23" t="n">
        <v>46016.51041666666</v>
      </c>
      <c r="B51" t="n">
        <v>62.76</v>
      </c>
      <c r="C51" t="n">
        <v>64.09999999999999</v>
      </c>
      <c r="D51" t="n">
        <v>1.339999999999996</v>
      </c>
      <c r="E51" t="n">
        <v>6.840000000000091</v>
      </c>
      <c r="F51" t="b">
        <v>1</v>
      </c>
      <c r="G51" t="b">
        <v>1</v>
      </c>
      <c r="H51" t="inlineStr">
        <is>
          <t>B</t>
        </is>
      </c>
      <c r="I51" t="inlineStr">
        <is>
          <t>B</t>
        </is>
      </c>
      <c r="J51" t="n">
        <v>0.8400000000000913</v>
      </c>
      <c r="K51" t="n">
        <v>5</v>
      </c>
      <c r="L51" t="n">
        <v>1</v>
      </c>
      <c r="M51" t="n">
        <v>0</v>
      </c>
      <c r="N51" t="n">
        <v>6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448.26</v>
      </c>
      <c r="AA51" t="n">
        <v>57.84</v>
      </c>
      <c r="AB51" t="n">
        <v>390.42</v>
      </c>
      <c r="AC51" t="n">
        <v>16791.8196</v>
      </c>
      <c r="AD51" t="n">
        <v>1500</v>
      </c>
      <c r="AE51" t="n">
        <v>10.12</v>
      </c>
      <c r="AF51" t="n">
        <v>15180</v>
      </c>
    </row>
    <row r="52">
      <c r="A52" s="23" t="n">
        <v>46016.52083333334</v>
      </c>
      <c r="B52" t="n">
        <v>62.72</v>
      </c>
      <c r="C52" t="n">
        <v>64.09999999999999</v>
      </c>
      <c r="D52" t="n">
        <v>1.379999999999995</v>
      </c>
      <c r="E52" t="n">
        <v>6.89999999999989</v>
      </c>
      <c r="F52" t="b">
        <v>1</v>
      </c>
      <c r="G52" t="b">
        <v>1</v>
      </c>
      <c r="H52" t="inlineStr">
        <is>
          <t>B</t>
        </is>
      </c>
      <c r="I52" t="inlineStr">
        <is>
          <t>B</t>
        </is>
      </c>
      <c r="J52" t="n">
        <v>0.8999999999998902</v>
      </c>
      <c r="K52" t="n">
        <v>5</v>
      </c>
      <c r="L52" t="n">
        <v>1</v>
      </c>
      <c r="M52" t="n">
        <v>0</v>
      </c>
      <c r="N52" t="n">
        <v>6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441.03</v>
      </c>
      <c r="AA52" t="n">
        <v>50.61</v>
      </c>
      <c r="AB52" t="n">
        <v>390.42</v>
      </c>
      <c r="AC52" t="n">
        <v>16520.9838</v>
      </c>
      <c r="AD52" t="n">
        <v>1500</v>
      </c>
      <c r="AE52" t="n">
        <v>10.12</v>
      </c>
      <c r="AF52" t="n">
        <v>15180</v>
      </c>
    </row>
    <row r="53">
      <c r="A53" s="23" t="n">
        <v>46016.53125</v>
      </c>
      <c r="B53" t="n">
        <v>62.73</v>
      </c>
      <c r="C53" t="n">
        <v>64.09999999999999</v>
      </c>
      <c r="D53" t="n">
        <v>1.369999999999997</v>
      </c>
      <c r="E53" t="n">
        <v>6.779999999999952</v>
      </c>
      <c r="F53" t="b">
        <v>1</v>
      </c>
      <c r="G53" t="b">
        <v>1</v>
      </c>
      <c r="H53" t="inlineStr">
        <is>
          <t>B</t>
        </is>
      </c>
      <c r="I53" t="inlineStr">
        <is>
          <t>B</t>
        </is>
      </c>
      <c r="J53" t="n">
        <v>0.7799999999999523</v>
      </c>
      <c r="K53" t="n">
        <v>5</v>
      </c>
      <c r="L53" t="n">
        <v>1</v>
      </c>
      <c r="M53" t="n">
        <v>0</v>
      </c>
      <c r="N53" t="n">
        <v>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441.03</v>
      </c>
      <c r="AA53" t="n">
        <v>50.61</v>
      </c>
      <c r="AB53" t="n">
        <v>390.42</v>
      </c>
      <c r="AC53" t="n">
        <v>16520.9838</v>
      </c>
      <c r="AD53" t="n">
        <v>1500</v>
      </c>
      <c r="AE53" t="n">
        <v>10.12</v>
      </c>
      <c r="AF53" t="n">
        <v>15180</v>
      </c>
    </row>
    <row r="54">
      <c r="A54" s="23" t="n">
        <v>46016.54166666666</v>
      </c>
      <c r="B54" t="n">
        <v>63.45</v>
      </c>
      <c r="C54" t="n">
        <v>64.09999999999999</v>
      </c>
      <c r="D54" t="n">
        <v>0.6499999999999915</v>
      </c>
      <c r="E54" t="n">
        <v>6.930000000000076</v>
      </c>
      <c r="F54" t="b">
        <v>1</v>
      </c>
      <c r="G54" t="b">
        <v>1</v>
      </c>
      <c r="H54" t="inlineStr">
        <is>
          <t>B</t>
        </is>
      </c>
      <c r="I54" t="inlineStr">
        <is>
          <t>B</t>
        </is>
      </c>
      <c r="J54" t="n">
        <v>0.6499999999999915</v>
      </c>
      <c r="K54" t="n">
        <v>5</v>
      </c>
      <c r="L54" t="n">
        <v>1</v>
      </c>
      <c r="M54" t="n">
        <v>0.2800000000000846</v>
      </c>
      <c r="N54" t="n">
        <v>6.280000000000085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0.2800000000000846</v>
      </c>
      <c r="X54" t="n">
        <v>0</v>
      </c>
      <c r="Y54" t="n">
        <v>1</v>
      </c>
      <c r="Z54" t="n">
        <v>466.4796000000055</v>
      </c>
      <c r="AA54" t="n">
        <v>57.84</v>
      </c>
      <c r="AB54" t="n">
        <v>408.6396000000055</v>
      </c>
      <c r="AC54" t="n">
        <v>17474.3258160002</v>
      </c>
      <c r="AD54" t="n">
        <v>1570.000000000021</v>
      </c>
      <c r="AE54" t="n">
        <v>10.12</v>
      </c>
      <c r="AF54" t="n">
        <v>15888.40000000021</v>
      </c>
    </row>
    <row r="55">
      <c r="A55" s="23" t="n">
        <v>46016.55208333334</v>
      </c>
      <c r="B55" t="n">
        <v>61.74</v>
      </c>
      <c r="C55" t="n">
        <v>64.09999999999999</v>
      </c>
      <c r="D55" t="n">
        <v>2.359999999999992</v>
      </c>
      <c r="E55" t="n">
        <v>7.020000000000172</v>
      </c>
      <c r="F55" t="b">
        <v>1</v>
      </c>
      <c r="G55" t="b">
        <v>1</v>
      </c>
      <c r="H55" t="inlineStr">
        <is>
          <t>B</t>
        </is>
      </c>
      <c r="I55" t="inlineStr">
        <is>
          <t>B</t>
        </is>
      </c>
      <c r="J55" t="n">
        <v>1.020000000000172</v>
      </c>
      <c r="K55" t="n">
        <v>5</v>
      </c>
      <c r="L55" t="n">
        <v>1</v>
      </c>
      <c r="M55" t="n">
        <v>0</v>
      </c>
      <c r="N55" t="n">
        <v>6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448.26</v>
      </c>
      <c r="AA55" t="n">
        <v>57.84</v>
      </c>
      <c r="AB55" t="n">
        <v>390.42</v>
      </c>
      <c r="AC55" t="n">
        <v>16791.8196</v>
      </c>
      <c r="AD55" t="n">
        <v>1500</v>
      </c>
      <c r="AE55" t="n">
        <v>10.12</v>
      </c>
      <c r="AF55" t="n">
        <v>15180</v>
      </c>
    </row>
    <row r="56">
      <c r="A56" s="23" t="n">
        <v>46016.5625</v>
      </c>
      <c r="B56" t="n">
        <v>61.63</v>
      </c>
      <c r="C56" t="n">
        <v>64.09999999999999</v>
      </c>
      <c r="D56" t="n">
        <v>2.469999999999992</v>
      </c>
      <c r="E56" t="n">
        <v>7.020000000000172</v>
      </c>
      <c r="F56" t="b">
        <v>1</v>
      </c>
      <c r="G56" t="b">
        <v>1</v>
      </c>
      <c r="H56" t="inlineStr">
        <is>
          <t>B</t>
        </is>
      </c>
      <c r="I56" t="inlineStr">
        <is>
          <t>B</t>
        </is>
      </c>
      <c r="J56" t="n">
        <v>1.020000000000172</v>
      </c>
      <c r="K56" t="n">
        <v>5</v>
      </c>
      <c r="L56" t="n">
        <v>1</v>
      </c>
      <c r="M56" t="n">
        <v>0</v>
      </c>
      <c r="N56" t="n">
        <v>6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441.03</v>
      </c>
      <c r="AA56" t="n">
        <v>50.61</v>
      </c>
      <c r="AB56" t="n">
        <v>390.42</v>
      </c>
      <c r="AC56" t="n">
        <v>16520.9838</v>
      </c>
      <c r="AD56" t="n">
        <v>1500</v>
      </c>
      <c r="AE56" t="n">
        <v>10.12</v>
      </c>
      <c r="AF56" t="n">
        <v>15180</v>
      </c>
    </row>
    <row r="57">
      <c r="A57" s="23" t="n">
        <v>46016.57291666666</v>
      </c>
      <c r="B57" t="n">
        <v>63.44</v>
      </c>
      <c r="C57" t="n">
        <v>64.09999999999999</v>
      </c>
      <c r="D57" t="n">
        <v>0.6599999999999966</v>
      </c>
      <c r="E57" t="n">
        <v>7.020000000000172</v>
      </c>
      <c r="F57" t="b">
        <v>1</v>
      </c>
      <c r="G57" t="b">
        <v>1</v>
      </c>
      <c r="H57" t="inlineStr">
        <is>
          <t>B</t>
        </is>
      </c>
      <c r="I57" t="inlineStr">
        <is>
          <t>B</t>
        </is>
      </c>
      <c r="J57" t="n">
        <v>0.6599999999999966</v>
      </c>
      <c r="K57" t="n">
        <v>5</v>
      </c>
      <c r="L57" t="n">
        <v>1</v>
      </c>
      <c r="M57" t="n">
        <v>0</v>
      </c>
      <c r="N57" t="n">
        <v>6</v>
      </c>
      <c r="O57" t="n">
        <v>0.3600000000001753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441.03</v>
      </c>
      <c r="AA57" t="n">
        <v>50.61</v>
      </c>
      <c r="AB57" t="n">
        <v>390.42</v>
      </c>
      <c r="AC57" t="n">
        <v>16520.9838</v>
      </c>
      <c r="AD57" t="n">
        <v>1500</v>
      </c>
      <c r="AE57" t="n">
        <v>10.12</v>
      </c>
      <c r="AF57" t="n">
        <v>15180</v>
      </c>
    </row>
    <row r="58">
      <c r="A58" s="23" t="n">
        <v>46016.58333333334</v>
      </c>
      <c r="B58" t="n">
        <v>64.23</v>
      </c>
      <c r="C58" t="n">
        <v>64.09999999999999</v>
      </c>
      <c r="D58" t="n">
        <v>0</v>
      </c>
      <c r="E58" t="n">
        <v>7.14999999999988</v>
      </c>
      <c r="F58" t="b">
        <v>1</v>
      </c>
      <c r="G58" t="b">
        <v>1</v>
      </c>
      <c r="H58" t="inlineStr">
        <is>
          <t>B</t>
        </is>
      </c>
      <c r="I58" t="inlineStr">
        <is>
          <t>B</t>
        </is>
      </c>
      <c r="J58" t="n">
        <v>0</v>
      </c>
      <c r="K58" t="n">
        <v>5</v>
      </c>
      <c r="L58" t="n">
        <v>1</v>
      </c>
      <c r="M58" t="n">
        <v>1.14999999999988</v>
      </c>
      <c r="N58" t="n">
        <v>7.14999999999988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0.7</v>
      </c>
      <c r="X58" t="n">
        <v>0.4499999999998796</v>
      </c>
      <c r="Y58" t="n">
        <v>2</v>
      </c>
      <c r="Z58" t="n">
        <v>530.3204999999921</v>
      </c>
      <c r="AA58" t="n">
        <v>65.06999999999999</v>
      </c>
      <c r="AB58" t="n">
        <v>465.2504999999921</v>
      </c>
      <c r="AC58" t="n">
        <v>19865.8059299997</v>
      </c>
      <c r="AD58" t="n">
        <v>1787.49999999997</v>
      </c>
      <c r="AE58" t="n">
        <v>10.12</v>
      </c>
      <c r="AF58" t="n">
        <v>18089.49999999969</v>
      </c>
    </row>
    <row r="59">
      <c r="A59" s="23" t="n">
        <v>46016.59375</v>
      </c>
      <c r="B59" t="n">
        <v>65.73</v>
      </c>
      <c r="C59" t="n">
        <v>64.09999999999999</v>
      </c>
      <c r="D59" t="n">
        <v>0</v>
      </c>
      <c r="E59" t="n">
        <v>7.170000000000059</v>
      </c>
      <c r="F59" t="b">
        <v>1</v>
      </c>
      <c r="G59" t="b">
        <v>1</v>
      </c>
      <c r="H59" t="inlineStr">
        <is>
          <t>B</t>
        </is>
      </c>
      <c r="I59" t="inlineStr">
        <is>
          <t>B</t>
        </is>
      </c>
      <c r="J59" t="n">
        <v>0</v>
      </c>
      <c r="K59" t="n">
        <v>5</v>
      </c>
      <c r="L59" t="n">
        <v>1</v>
      </c>
      <c r="M59" t="n">
        <v>1.170000000000059</v>
      </c>
      <c r="N59" t="n">
        <v>7.170000000000059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0.7</v>
      </c>
      <c r="X59" t="n">
        <v>0.4700000000000595</v>
      </c>
      <c r="Y59" t="n">
        <v>2</v>
      </c>
      <c r="Z59" t="n">
        <v>531.6219000000038</v>
      </c>
      <c r="AA59" t="n">
        <v>65.06999999999999</v>
      </c>
      <c r="AB59" t="n">
        <v>466.5519000000039</v>
      </c>
      <c r="AC59" t="n">
        <v>19914.55637400015</v>
      </c>
      <c r="AD59" t="n">
        <v>1792.500000000015</v>
      </c>
      <c r="AE59" t="n">
        <v>10.12</v>
      </c>
      <c r="AF59" t="n">
        <v>18140.10000000015</v>
      </c>
    </row>
    <row r="60">
      <c r="A60" s="23" t="n">
        <v>46016.60416666666</v>
      </c>
      <c r="B60" t="n">
        <v>66.44</v>
      </c>
      <c r="C60" t="n">
        <v>64.09999999999999</v>
      </c>
      <c r="D60" t="n">
        <v>0</v>
      </c>
      <c r="E60" t="n">
        <v>7.22000000000006</v>
      </c>
      <c r="F60" t="b">
        <v>1</v>
      </c>
      <c r="G60" t="b">
        <v>1</v>
      </c>
      <c r="H60" t="inlineStr">
        <is>
          <t>B</t>
        </is>
      </c>
      <c r="I60" t="inlineStr">
        <is>
          <t>B</t>
        </is>
      </c>
      <c r="J60" t="n">
        <v>0</v>
      </c>
      <c r="K60" t="n">
        <v>5</v>
      </c>
      <c r="L60" t="n">
        <v>1</v>
      </c>
      <c r="M60" t="n">
        <v>1.22000000000006</v>
      </c>
      <c r="N60" t="n">
        <v>7.22000000000006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0.7</v>
      </c>
      <c r="X60" t="n">
        <v>0.5200000000000602</v>
      </c>
      <c r="Y60" t="n">
        <v>2</v>
      </c>
      <c r="Z60" t="n">
        <v>534.8754000000039</v>
      </c>
      <c r="AA60" t="n">
        <v>65.06999999999999</v>
      </c>
      <c r="AB60" t="n">
        <v>469.8054000000039</v>
      </c>
      <c r="AC60" t="n">
        <v>20036.43248400015</v>
      </c>
      <c r="AD60" t="n">
        <v>1805.000000000015</v>
      </c>
      <c r="AE60" t="n">
        <v>10.12</v>
      </c>
      <c r="AF60" t="n">
        <v>18266.60000000015</v>
      </c>
    </row>
    <row r="61">
      <c r="A61" s="23" t="n">
        <v>46016.61458333334</v>
      </c>
      <c r="B61" t="n">
        <v>64.13</v>
      </c>
      <c r="C61" t="n">
        <v>64.09999999999999</v>
      </c>
      <c r="D61" t="n">
        <v>0</v>
      </c>
      <c r="E61" t="n">
        <v>7.310000000000149</v>
      </c>
      <c r="F61" t="b">
        <v>1</v>
      </c>
      <c r="G61" t="b">
        <v>1</v>
      </c>
      <c r="H61" t="inlineStr">
        <is>
          <t>B</t>
        </is>
      </c>
      <c r="I61" t="inlineStr">
        <is>
          <t>B</t>
        </is>
      </c>
      <c r="J61" t="n">
        <v>0</v>
      </c>
      <c r="K61" t="n">
        <v>5</v>
      </c>
      <c r="L61" t="n">
        <v>1</v>
      </c>
      <c r="M61" t="n">
        <v>1.310000000000149</v>
      </c>
      <c r="N61" t="n">
        <v>7.310000000000149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0.7</v>
      </c>
      <c r="X61" t="n">
        <v>0.6100000000001489</v>
      </c>
      <c r="Y61" t="n">
        <v>2</v>
      </c>
      <c r="Z61" t="n">
        <v>540.7317000000096</v>
      </c>
      <c r="AA61" t="n">
        <v>65.06999999999999</v>
      </c>
      <c r="AB61" t="n">
        <v>475.6617000000097</v>
      </c>
      <c r="AC61" t="n">
        <v>20255.80948200036</v>
      </c>
      <c r="AD61" t="n">
        <v>1827.500000000037</v>
      </c>
      <c r="AE61" t="n">
        <v>10.12</v>
      </c>
      <c r="AF61" t="n">
        <v>18494.30000000038</v>
      </c>
    </row>
    <row r="62">
      <c r="A62" s="23" t="n">
        <v>46016.625</v>
      </c>
      <c r="B62" t="n">
        <v>64.84</v>
      </c>
      <c r="C62" t="n">
        <v>64.09999999999999</v>
      </c>
      <c r="D62" t="n">
        <v>0</v>
      </c>
      <c r="E62" t="n">
        <v>7.640000000000129</v>
      </c>
      <c r="F62" t="b">
        <v>1</v>
      </c>
      <c r="G62" t="b">
        <v>1</v>
      </c>
      <c r="H62" t="inlineStr">
        <is>
          <t>B</t>
        </is>
      </c>
      <c r="I62" t="inlineStr">
        <is>
          <t>B</t>
        </is>
      </c>
      <c r="J62" t="n">
        <v>0</v>
      </c>
      <c r="K62" t="n">
        <v>5</v>
      </c>
      <c r="L62" t="n">
        <v>1</v>
      </c>
      <c r="M62" t="n">
        <v>1.4</v>
      </c>
      <c r="N62" t="n">
        <v>7.4</v>
      </c>
      <c r="O62" t="n">
        <v>0.2400000000001294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0.7</v>
      </c>
      <c r="X62" t="n">
        <v>0.7</v>
      </c>
      <c r="Y62" t="n">
        <v>2</v>
      </c>
      <c r="Z62" t="n">
        <v>546.588</v>
      </c>
      <c r="AA62" t="n">
        <v>65.06999999999999</v>
      </c>
      <c r="AB62" t="n">
        <v>481.518</v>
      </c>
      <c r="AC62" t="n">
        <v>20475.18648</v>
      </c>
      <c r="AD62" t="n">
        <v>1850</v>
      </c>
      <c r="AE62" t="n">
        <v>10.12</v>
      </c>
      <c r="AF62" t="n">
        <v>18722</v>
      </c>
    </row>
    <row r="63">
      <c r="A63" s="23" t="n">
        <v>46016.63541666666</v>
      </c>
      <c r="B63" t="n">
        <v>63.43</v>
      </c>
      <c r="C63" t="n">
        <v>64.09999999999999</v>
      </c>
      <c r="D63" t="n">
        <v>0.6699999999999946</v>
      </c>
      <c r="E63" t="n">
        <v>7.539999999999967</v>
      </c>
      <c r="F63" t="b">
        <v>1</v>
      </c>
      <c r="G63" t="b">
        <v>1</v>
      </c>
      <c r="H63" t="inlineStr">
        <is>
          <t>B</t>
        </is>
      </c>
      <c r="I63" t="inlineStr">
        <is>
          <t>B</t>
        </is>
      </c>
      <c r="J63" t="n">
        <v>0.6699999999999946</v>
      </c>
      <c r="K63" t="n">
        <v>5</v>
      </c>
      <c r="L63" t="n">
        <v>1</v>
      </c>
      <c r="M63" t="n">
        <v>0.8699999999999726</v>
      </c>
      <c r="N63" t="n">
        <v>6.869999999999973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0.7</v>
      </c>
      <c r="X63" t="n">
        <v>0.1699999999999726</v>
      </c>
      <c r="Y63" t="n">
        <v>2</v>
      </c>
      <c r="Z63" t="n">
        <v>512.1008999999982</v>
      </c>
      <c r="AA63" t="n">
        <v>65.06999999999999</v>
      </c>
      <c r="AB63" t="n">
        <v>447.0308999999982</v>
      </c>
      <c r="AC63" t="n">
        <v>19183.29971399993</v>
      </c>
      <c r="AD63" t="n">
        <v>1717.499999999993</v>
      </c>
      <c r="AE63" t="n">
        <v>10.12</v>
      </c>
      <c r="AF63" t="n">
        <v>17381.09999999993</v>
      </c>
    </row>
    <row r="64">
      <c r="A64" s="23" t="n">
        <v>46016.64583333334</v>
      </c>
      <c r="B64" t="n">
        <v>63.42</v>
      </c>
      <c r="C64" t="n">
        <v>64.09999999999999</v>
      </c>
      <c r="D64" t="n">
        <v>0.6799999999999926</v>
      </c>
      <c r="E64" t="n">
        <v>7.590000000000097</v>
      </c>
      <c r="F64" t="b">
        <v>1</v>
      </c>
      <c r="G64" t="b">
        <v>1</v>
      </c>
      <c r="H64" t="inlineStr">
        <is>
          <t>B</t>
        </is>
      </c>
      <c r="I64" t="inlineStr">
        <is>
          <t>B</t>
        </is>
      </c>
      <c r="J64" t="n">
        <v>0.6799999999999926</v>
      </c>
      <c r="K64" t="n">
        <v>5</v>
      </c>
      <c r="L64" t="n">
        <v>1</v>
      </c>
      <c r="M64" t="n">
        <v>0.9100000000001041</v>
      </c>
      <c r="N64" t="n">
        <v>6.910000000000104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0.7</v>
      </c>
      <c r="X64" t="n">
        <v>0.2100000000001041</v>
      </c>
      <c r="Y64" t="n">
        <v>2</v>
      </c>
      <c r="Z64" t="n">
        <v>514.7037000000067</v>
      </c>
      <c r="AA64" t="n">
        <v>65.06999999999999</v>
      </c>
      <c r="AB64" t="n">
        <v>449.6337000000068</v>
      </c>
      <c r="AC64" t="n">
        <v>19280.80060200025</v>
      </c>
      <c r="AD64" t="n">
        <v>1727.500000000026</v>
      </c>
      <c r="AE64" t="n">
        <v>10.12</v>
      </c>
      <c r="AF64" t="n">
        <v>17482.30000000026</v>
      </c>
    </row>
    <row r="65">
      <c r="A65" s="23" t="n">
        <v>46016.65625</v>
      </c>
      <c r="B65" t="n">
        <v>63.4</v>
      </c>
      <c r="C65" t="n">
        <v>64.09999999999999</v>
      </c>
      <c r="D65" t="n">
        <v>0.6999999999999957</v>
      </c>
      <c r="E65" t="n">
        <v>7.779999999999926</v>
      </c>
      <c r="F65" t="b">
        <v>1</v>
      </c>
      <c r="G65" t="b">
        <v>1</v>
      </c>
      <c r="H65" t="inlineStr">
        <is>
          <t>B</t>
        </is>
      </c>
      <c r="I65" t="inlineStr">
        <is>
          <t>B</t>
        </is>
      </c>
      <c r="J65" t="n">
        <v>0.6999999999999957</v>
      </c>
      <c r="K65" t="n">
        <v>5</v>
      </c>
      <c r="L65" t="n">
        <v>1</v>
      </c>
      <c r="M65" t="n">
        <v>1.07999999999993</v>
      </c>
      <c r="N65" t="n">
        <v>7.07999999999993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0.7</v>
      </c>
      <c r="X65" t="n">
        <v>0.3799999999999299</v>
      </c>
      <c r="Y65" t="n">
        <v>2</v>
      </c>
      <c r="Z65" t="n">
        <v>525.7655999999954</v>
      </c>
      <c r="AA65" t="n">
        <v>65.06999999999999</v>
      </c>
      <c r="AB65" t="n">
        <v>460.6955999999955</v>
      </c>
      <c r="AC65" t="n">
        <v>19695.17937599983</v>
      </c>
      <c r="AD65" t="n">
        <v>1769.999999999982</v>
      </c>
      <c r="AE65" t="n">
        <v>10.12</v>
      </c>
      <c r="AF65" t="n">
        <v>17912.39999999982</v>
      </c>
    </row>
    <row r="66">
      <c r="A66" s="23" t="n">
        <v>46016.66666666666</v>
      </c>
      <c r="B66" t="n">
        <v>63.4</v>
      </c>
      <c r="C66" t="n">
        <v>64.09999999999999</v>
      </c>
      <c r="D66" t="n">
        <v>0.6999999999999957</v>
      </c>
      <c r="E66" t="n">
        <v>7.899999999999858</v>
      </c>
      <c r="F66" t="b">
        <v>1</v>
      </c>
      <c r="G66" t="b">
        <v>1</v>
      </c>
      <c r="H66" t="inlineStr">
        <is>
          <t>B</t>
        </is>
      </c>
      <c r="I66" t="inlineStr">
        <is>
          <t>B</t>
        </is>
      </c>
      <c r="J66" t="n">
        <v>0.6999999999999957</v>
      </c>
      <c r="K66" t="n">
        <v>5</v>
      </c>
      <c r="L66" t="n">
        <v>1</v>
      </c>
      <c r="M66" t="n">
        <v>1.199999999999863</v>
      </c>
      <c r="N66" t="n">
        <v>7.199999999999863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0.7</v>
      </c>
      <c r="X66" t="n">
        <v>0.4999999999998626</v>
      </c>
      <c r="Y66" t="n">
        <v>2</v>
      </c>
      <c r="Z66" t="n">
        <v>533.573999999991</v>
      </c>
      <c r="AA66" t="n">
        <v>65.06999999999999</v>
      </c>
      <c r="AB66" t="n">
        <v>468.503999999991</v>
      </c>
      <c r="AC66" t="n">
        <v>19987.68203999966</v>
      </c>
      <c r="AD66" t="n">
        <v>1799.999999999966</v>
      </c>
      <c r="AE66" t="n">
        <v>10.12</v>
      </c>
      <c r="AF66" t="n">
        <v>18215.99999999965</v>
      </c>
    </row>
    <row r="67">
      <c r="A67" s="23" t="n">
        <v>46016.67708333334</v>
      </c>
      <c r="B67" t="n">
        <v>64.06999999999999</v>
      </c>
      <c r="C67" t="n">
        <v>64.09999999999999</v>
      </c>
      <c r="D67" t="n">
        <v>0.03000000000000114</v>
      </c>
      <c r="E67" t="n">
        <v>7.909999999999902</v>
      </c>
      <c r="F67" t="b">
        <v>1</v>
      </c>
      <c r="G67" t="b">
        <v>1</v>
      </c>
      <c r="H67" t="inlineStr">
        <is>
          <t>B</t>
        </is>
      </c>
      <c r="I67" t="inlineStr">
        <is>
          <t>B</t>
        </is>
      </c>
      <c r="J67" t="n">
        <v>0.03000000000000114</v>
      </c>
      <c r="K67" t="n">
        <v>5</v>
      </c>
      <c r="L67" t="n">
        <v>1</v>
      </c>
      <c r="M67" t="n">
        <v>1.4</v>
      </c>
      <c r="N67" t="n">
        <v>7.4</v>
      </c>
      <c r="O67" t="n">
        <v>0.4799999999999014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0.7</v>
      </c>
      <c r="X67" t="n">
        <v>0.7</v>
      </c>
      <c r="Y67" t="n">
        <v>2</v>
      </c>
      <c r="Z67" t="n">
        <v>546.588</v>
      </c>
      <c r="AA67" t="n">
        <v>65.06999999999999</v>
      </c>
      <c r="AB67" t="n">
        <v>481.518</v>
      </c>
      <c r="AC67" t="n">
        <v>20475.18648</v>
      </c>
      <c r="AD67" t="n">
        <v>1850</v>
      </c>
      <c r="AE67" t="n">
        <v>10.12</v>
      </c>
      <c r="AF67" t="n">
        <v>18722</v>
      </c>
    </row>
    <row r="68">
      <c r="A68" s="23" t="n">
        <v>46016.6875</v>
      </c>
      <c r="B68" t="n">
        <v>63.39</v>
      </c>
      <c r="C68" t="n">
        <v>64.09999999999999</v>
      </c>
      <c r="D68" t="n">
        <v>0.7099999999999937</v>
      </c>
      <c r="E68" t="n">
        <v>7.970000000000078</v>
      </c>
      <c r="F68" t="b">
        <v>1</v>
      </c>
      <c r="G68" t="b">
        <v>1</v>
      </c>
      <c r="H68" t="inlineStr">
        <is>
          <t>B</t>
        </is>
      </c>
      <c r="I68" t="inlineStr">
        <is>
          <t>B</t>
        </is>
      </c>
      <c r="J68" t="n">
        <v>0.7099999999999937</v>
      </c>
      <c r="K68" t="n">
        <v>5</v>
      </c>
      <c r="L68" t="n">
        <v>1</v>
      </c>
      <c r="M68" t="n">
        <v>1.260000000000084</v>
      </c>
      <c r="N68" t="n">
        <v>7.260000000000084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0.7</v>
      </c>
      <c r="X68" t="n">
        <v>0.5600000000000842</v>
      </c>
      <c r="Y68" t="n">
        <v>2</v>
      </c>
      <c r="Z68" t="n">
        <v>537.4782000000055</v>
      </c>
      <c r="AA68" t="n">
        <v>65.06999999999999</v>
      </c>
      <c r="AB68" t="n">
        <v>472.4082000000055</v>
      </c>
      <c r="AC68" t="n">
        <v>20133.93337200021</v>
      </c>
      <c r="AD68" t="n">
        <v>1815.000000000021</v>
      </c>
      <c r="AE68" t="n">
        <v>10.12</v>
      </c>
      <c r="AF68" t="n">
        <v>18367.80000000021</v>
      </c>
    </row>
    <row r="69">
      <c r="A69" s="23" t="n">
        <v>46016.69791666666</v>
      </c>
      <c r="B69" t="n">
        <v>63.39</v>
      </c>
      <c r="C69" t="n">
        <v>64.09999999999999</v>
      </c>
      <c r="D69" t="n">
        <v>0.7099999999999937</v>
      </c>
      <c r="E69" t="n">
        <v>8.01000000000016</v>
      </c>
      <c r="F69" t="b">
        <v>1</v>
      </c>
      <c r="G69" t="b">
        <v>1</v>
      </c>
      <c r="H69" t="inlineStr">
        <is>
          <t>B</t>
        </is>
      </c>
      <c r="I69" t="inlineStr">
        <is>
          <t>B</t>
        </is>
      </c>
      <c r="J69" t="n">
        <v>0.7099999999999937</v>
      </c>
      <c r="K69" t="n">
        <v>5</v>
      </c>
      <c r="L69" t="n">
        <v>1</v>
      </c>
      <c r="M69" t="n">
        <v>1.300000000000166</v>
      </c>
      <c r="N69" t="n">
        <v>7.300000000000166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0.7</v>
      </c>
      <c r="X69" t="n">
        <v>0.600000000000166</v>
      </c>
      <c r="Y69" t="n">
        <v>2</v>
      </c>
      <c r="Z69" t="n">
        <v>540.0810000000108</v>
      </c>
      <c r="AA69" t="n">
        <v>65.06999999999999</v>
      </c>
      <c r="AB69" t="n">
        <v>475.0110000000108</v>
      </c>
      <c r="AC69" t="n">
        <v>20231.43426000041</v>
      </c>
      <c r="AD69" t="n">
        <v>1825.000000000041</v>
      </c>
      <c r="AE69" t="n">
        <v>10.12</v>
      </c>
      <c r="AF69" t="n">
        <v>18469.00000000042</v>
      </c>
    </row>
    <row r="70">
      <c r="A70" s="23" t="n">
        <v>46016.70833333334</v>
      </c>
      <c r="B70" t="n">
        <v>63.39</v>
      </c>
      <c r="C70" t="n">
        <v>64.09999999999999</v>
      </c>
      <c r="D70" t="n">
        <v>0.7099999999999937</v>
      </c>
      <c r="E70" t="n">
        <v>8.029999999999919</v>
      </c>
      <c r="F70" t="b">
        <v>1</v>
      </c>
      <c r="G70" t="b">
        <v>1</v>
      </c>
      <c r="H70" t="inlineStr">
        <is>
          <t>B</t>
        </is>
      </c>
      <c r="I70" t="inlineStr">
        <is>
          <t>B</t>
        </is>
      </c>
      <c r="J70" t="n">
        <v>0.7099999999999937</v>
      </c>
      <c r="K70" t="n">
        <v>5</v>
      </c>
      <c r="L70" t="n">
        <v>2</v>
      </c>
      <c r="M70" t="n">
        <v>0.3199999999999257</v>
      </c>
      <c r="N70" t="n">
        <v>7.319999999999926</v>
      </c>
      <c r="O70" t="n">
        <v>0</v>
      </c>
      <c r="P70" t="n">
        <v>1.4</v>
      </c>
      <c r="Q70" t="n">
        <v>0.6000000000000001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0.3199999999999257</v>
      </c>
      <c r="X70" t="n">
        <v>0</v>
      </c>
      <c r="Y70" t="n">
        <v>1</v>
      </c>
      <c r="Z70" t="n">
        <v>548.6123999999951</v>
      </c>
      <c r="AA70" t="n">
        <v>72.3</v>
      </c>
      <c r="AB70" t="n">
        <v>476.3123999999952</v>
      </c>
      <c r="AC70" t="n">
        <v>20551.02050399982</v>
      </c>
      <c r="AD70" t="n">
        <v>1829.999999999981</v>
      </c>
      <c r="AE70" t="n">
        <v>10.12</v>
      </c>
      <c r="AF70" t="n">
        <v>18519.59999999981</v>
      </c>
    </row>
    <row r="71">
      <c r="A71" s="23" t="n">
        <v>46016.71875</v>
      </c>
      <c r="B71" t="n">
        <v>62.1</v>
      </c>
      <c r="C71" t="n">
        <v>64.09999999999999</v>
      </c>
      <c r="D71" t="n">
        <v>1.999999999999993</v>
      </c>
      <c r="E71" t="n">
        <v>8.039999999999967</v>
      </c>
      <c r="F71" t="b">
        <v>1</v>
      </c>
      <c r="G71" t="b">
        <v>1</v>
      </c>
      <c r="H71" t="inlineStr">
        <is>
          <t>B</t>
        </is>
      </c>
      <c r="I71" t="inlineStr">
        <is>
          <t>B</t>
        </is>
      </c>
      <c r="J71" t="n">
        <v>1.039999999999967</v>
      </c>
      <c r="K71" t="n">
        <v>5</v>
      </c>
      <c r="L71" t="n">
        <v>2</v>
      </c>
      <c r="M71" t="n">
        <v>0</v>
      </c>
      <c r="N71" t="n">
        <v>7</v>
      </c>
      <c r="O71" t="n">
        <v>0</v>
      </c>
      <c r="P71" t="n">
        <v>1.4</v>
      </c>
      <c r="Q71" t="n">
        <v>0.6000000000000001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0</v>
      </c>
      <c r="Z71" t="n">
        <v>527.79</v>
      </c>
      <c r="AA71" t="n">
        <v>72.3</v>
      </c>
      <c r="AB71" t="n">
        <v>455.49</v>
      </c>
      <c r="AC71" t="n">
        <v>19771.0134</v>
      </c>
      <c r="AD71" t="n">
        <v>1750</v>
      </c>
      <c r="AE71" t="n">
        <v>10.12</v>
      </c>
      <c r="AF71" t="n">
        <v>17710</v>
      </c>
    </row>
    <row r="72">
      <c r="A72" s="23" t="n">
        <v>46016.72916666666</v>
      </c>
      <c r="B72" t="n">
        <v>62.74</v>
      </c>
      <c r="C72" t="n">
        <v>64.09999999999999</v>
      </c>
      <c r="D72" t="n">
        <v>1.359999999999992</v>
      </c>
      <c r="E72" t="n">
        <v>8.109999999999859</v>
      </c>
      <c r="F72" t="b">
        <v>1</v>
      </c>
      <c r="G72" t="b">
        <v>1</v>
      </c>
      <c r="H72" t="inlineStr">
        <is>
          <t>B</t>
        </is>
      </c>
      <c r="I72" t="inlineStr">
        <is>
          <t>B</t>
        </is>
      </c>
      <c r="J72" t="n">
        <v>1.109999999999859</v>
      </c>
      <c r="K72" t="n">
        <v>5</v>
      </c>
      <c r="L72" t="n">
        <v>2</v>
      </c>
      <c r="M72" t="n">
        <v>0</v>
      </c>
      <c r="N72" t="n">
        <v>7</v>
      </c>
      <c r="O72" t="n">
        <v>0</v>
      </c>
      <c r="P72" t="n">
        <v>1.4</v>
      </c>
      <c r="Q72" t="n">
        <v>0.6000000000000001</v>
      </c>
      <c r="R72" t="n">
        <v>0</v>
      </c>
      <c r="S72" t="n">
        <v>0</v>
      </c>
      <c r="T72" t="n">
        <v>0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520.5599999999999</v>
      </c>
      <c r="AA72" t="n">
        <v>65.06999999999999</v>
      </c>
      <c r="AB72" t="n">
        <v>455.49</v>
      </c>
      <c r="AC72" t="n">
        <v>19500.1776</v>
      </c>
      <c r="AD72" t="n">
        <v>1750</v>
      </c>
      <c r="AE72" t="n">
        <v>10.12</v>
      </c>
      <c r="AF72" t="n">
        <v>17710</v>
      </c>
    </row>
    <row r="73">
      <c r="A73" s="23" t="n">
        <v>46016.73958333334</v>
      </c>
      <c r="B73" t="n">
        <v>62.74</v>
      </c>
      <c r="C73" t="n">
        <v>64.09999999999999</v>
      </c>
      <c r="D73" t="n">
        <v>1.359999999999992</v>
      </c>
      <c r="E73" t="n">
        <v>8.140000000000143</v>
      </c>
      <c r="F73" t="b">
        <v>1</v>
      </c>
      <c r="G73" t="b">
        <v>1</v>
      </c>
      <c r="H73" t="inlineStr">
        <is>
          <t>B</t>
        </is>
      </c>
      <c r="I73" t="inlineStr">
        <is>
          <t>B</t>
        </is>
      </c>
      <c r="J73" t="n">
        <v>1.140000000000143</v>
      </c>
      <c r="K73" t="n">
        <v>5</v>
      </c>
      <c r="L73" t="n">
        <v>2</v>
      </c>
      <c r="M73" t="n">
        <v>0</v>
      </c>
      <c r="N73" t="n">
        <v>7</v>
      </c>
      <c r="O73" t="n">
        <v>0</v>
      </c>
      <c r="P73" t="n">
        <v>1.4</v>
      </c>
      <c r="Q73" t="n">
        <v>0.6000000000000001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  <c r="W73" t="n">
        <v>0</v>
      </c>
      <c r="X73" t="n">
        <v>0</v>
      </c>
      <c r="Y73" t="n">
        <v>0</v>
      </c>
      <c r="Z73" t="n">
        <v>520.5599999999999</v>
      </c>
      <c r="AA73" t="n">
        <v>65.06999999999999</v>
      </c>
      <c r="AB73" t="n">
        <v>455.49</v>
      </c>
      <c r="AC73" t="n">
        <v>19500.1776</v>
      </c>
      <c r="AD73" t="n">
        <v>1750</v>
      </c>
      <c r="AE73" t="n">
        <v>10.12</v>
      </c>
      <c r="AF73" t="n">
        <v>17710</v>
      </c>
    </row>
    <row r="74">
      <c r="A74" s="23" t="n">
        <v>46016.75</v>
      </c>
      <c r="B74" t="n">
        <v>62.74</v>
      </c>
      <c r="C74" t="n">
        <v>64.09999999999999</v>
      </c>
      <c r="D74" t="n">
        <v>1.359999999999992</v>
      </c>
      <c r="E74" t="n">
        <v>8.159999999999901</v>
      </c>
      <c r="F74" t="b">
        <v>1</v>
      </c>
      <c r="G74" t="b">
        <v>1</v>
      </c>
      <c r="H74" t="inlineStr">
        <is>
          <t>B</t>
        </is>
      </c>
      <c r="I74" t="inlineStr">
        <is>
          <t>B</t>
        </is>
      </c>
      <c r="J74" t="n">
        <v>1.159999999999901</v>
      </c>
      <c r="K74" t="n">
        <v>5</v>
      </c>
      <c r="L74" t="n">
        <v>2</v>
      </c>
      <c r="M74" t="n">
        <v>0</v>
      </c>
      <c r="N74" t="n">
        <v>7</v>
      </c>
      <c r="O74" t="n">
        <v>0</v>
      </c>
      <c r="P74" t="n">
        <v>1.4</v>
      </c>
      <c r="Q74" t="n">
        <v>0.6000000000000001</v>
      </c>
      <c r="R74" t="n">
        <v>0</v>
      </c>
      <c r="S74" t="n">
        <v>0</v>
      </c>
      <c r="T74" t="n">
        <v>0</v>
      </c>
      <c r="U74" t="n">
        <v>0</v>
      </c>
      <c r="V74" t="n">
        <v>2</v>
      </c>
      <c r="W74" t="n">
        <v>0</v>
      </c>
      <c r="X74" t="n">
        <v>0</v>
      </c>
      <c r="Y74" t="n">
        <v>0</v>
      </c>
      <c r="Z74" t="n">
        <v>520.5599999999999</v>
      </c>
      <c r="AA74" t="n">
        <v>65.06999999999999</v>
      </c>
      <c r="AB74" t="n">
        <v>455.49</v>
      </c>
      <c r="AC74" t="n">
        <v>19500.1776</v>
      </c>
      <c r="AD74" t="n">
        <v>1750</v>
      </c>
      <c r="AE74" t="n">
        <v>10.12</v>
      </c>
      <c r="AF74" t="n">
        <v>17710</v>
      </c>
    </row>
    <row r="75">
      <c r="A75" s="23" t="n">
        <v>46016.76041666666</v>
      </c>
      <c r="B75" t="n">
        <v>63.37</v>
      </c>
      <c r="C75" t="n">
        <v>64.09999999999999</v>
      </c>
      <c r="D75" t="n">
        <v>0.7299999999999969</v>
      </c>
      <c r="E75" t="n">
        <v>8.359999999999873</v>
      </c>
      <c r="F75" t="b">
        <v>1</v>
      </c>
      <c r="G75" t="b">
        <v>1</v>
      </c>
      <c r="H75" t="inlineStr">
        <is>
          <t>B</t>
        </is>
      </c>
      <c r="I75" t="inlineStr">
        <is>
          <t>B</t>
        </is>
      </c>
      <c r="J75" t="n">
        <v>0.7299999999999969</v>
      </c>
      <c r="K75" t="n">
        <v>5</v>
      </c>
      <c r="L75" t="n">
        <v>2</v>
      </c>
      <c r="M75" t="n">
        <v>0</v>
      </c>
      <c r="N75" t="n">
        <v>7</v>
      </c>
      <c r="O75" t="n">
        <v>0.6299999999998764</v>
      </c>
      <c r="P75" t="n">
        <v>1.4</v>
      </c>
      <c r="Q75" t="n">
        <v>0.6000000000000001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0</v>
      </c>
      <c r="X75" t="n">
        <v>0</v>
      </c>
      <c r="Y75" t="n">
        <v>0</v>
      </c>
      <c r="Z75" t="n">
        <v>520.5599999999999</v>
      </c>
      <c r="AA75" t="n">
        <v>65.06999999999999</v>
      </c>
      <c r="AB75" t="n">
        <v>455.49</v>
      </c>
      <c r="AC75" t="n">
        <v>19500.1776</v>
      </c>
      <c r="AD75" t="n">
        <v>1750</v>
      </c>
      <c r="AE75" t="n">
        <v>10.12</v>
      </c>
      <c r="AF75" t="n">
        <v>17710</v>
      </c>
    </row>
    <row r="76">
      <c r="A76" s="23" t="n">
        <v>46016.77083333334</v>
      </c>
      <c r="B76" t="n">
        <v>64.06999999999999</v>
      </c>
      <c r="C76" t="n">
        <v>64.09999999999999</v>
      </c>
      <c r="D76" t="n">
        <v>0.03000000000000114</v>
      </c>
      <c r="E76" t="n">
        <v>8.350000000000152</v>
      </c>
      <c r="F76" t="b">
        <v>1</v>
      </c>
      <c r="G76" t="b">
        <v>1</v>
      </c>
      <c r="H76" t="inlineStr">
        <is>
          <t>B</t>
        </is>
      </c>
      <c r="I76" t="inlineStr">
        <is>
          <t>B</t>
        </is>
      </c>
      <c r="J76" t="n">
        <v>0.03000000000000114</v>
      </c>
      <c r="K76" t="n">
        <v>5</v>
      </c>
      <c r="L76" t="n">
        <v>2</v>
      </c>
      <c r="M76" t="n">
        <v>1.320000000000151</v>
      </c>
      <c r="N76" t="n">
        <v>8.320000000000151</v>
      </c>
      <c r="O76" t="n">
        <v>0</v>
      </c>
      <c r="P76" t="n">
        <v>1.4</v>
      </c>
      <c r="Q76" t="n">
        <v>0.6000000000000001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0.7</v>
      </c>
      <c r="X76" t="n">
        <v>0.6200000000001513</v>
      </c>
      <c r="Y76" t="n">
        <v>2</v>
      </c>
      <c r="Z76" t="n">
        <v>620.9124000000098</v>
      </c>
      <c r="AA76" t="n">
        <v>79.53</v>
      </c>
      <c r="AB76" t="n">
        <v>541.3824000000099</v>
      </c>
      <c r="AC76" t="n">
        <v>23259.37850400037</v>
      </c>
      <c r="AD76" t="n">
        <v>2080.000000000038</v>
      </c>
      <c r="AE76" t="n">
        <v>10.12</v>
      </c>
      <c r="AF76" t="n">
        <v>21049.60000000038</v>
      </c>
    </row>
    <row r="77">
      <c r="A77" s="23" t="n">
        <v>46016.78125</v>
      </c>
      <c r="B77" t="n">
        <v>64.06999999999999</v>
      </c>
      <c r="C77" t="n">
        <v>64.09999999999999</v>
      </c>
      <c r="D77" t="n">
        <v>0.03000000000000114</v>
      </c>
      <c r="E77" t="n">
        <v>8.520000000000218</v>
      </c>
      <c r="F77" t="b">
        <v>1</v>
      </c>
      <c r="G77" t="b">
        <v>1</v>
      </c>
      <c r="H77" t="inlineStr">
        <is>
          <t>B</t>
        </is>
      </c>
      <c r="I77" t="inlineStr">
        <is>
          <t>B</t>
        </is>
      </c>
      <c r="J77" t="n">
        <v>0.03000000000000114</v>
      </c>
      <c r="K77" t="n">
        <v>5</v>
      </c>
      <c r="L77" t="n">
        <v>2</v>
      </c>
      <c r="M77" t="n">
        <v>1.4</v>
      </c>
      <c r="N77" t="n">
        <v>8.4</v>
      </c>
      <c r="O77" t="n">
        <v>0.09000000000021702</v>
      </c>
      <c r="P77" t="n">
        <v>1.4</v>
      </c>
      <c r="Q77" t="n">
        <v>0.6000000000000001</v>
      </c>
      <c r="R77" t="n">
        <v>0</v>
      </c>
      <c r="S77" t="n">
        <v>0</v>
      </c>
      <c r="T77" t="n">
        <v>0</v>
      </c>
      <c r="U77" t="n">
        <v>0</v>
      </c>
      <c r="V77" t="n">
        <v>2</v>
      </c>
      <c r="W77" t="n">
        <v>0.7</v>
      </c>
      <c r="X77" t="n">
        <v>0.7</v>
      </c>
      <c r="Y77" t="n">
        <v>2</v>
      </c>
      <c r="Z77" t="n">
        <v>626.1179999999999</v>
      </c>
      <c r="AA77" t="n">
        <v>79.53</v>
      </c>
      <c r="AB77" t="n">
        <v>546.588</v>
      </c>
      <c r="AC77" t="n">
        <v>23454.38028</v>
      </c>
      <c r="AD77" t="n">
        <v>2100</v>
      </c>
      <c r="AE77" t="n">
        <v>10.12</v>
      </c>
      <c r="AF77" t="n">
        <v>21252</v>
      </c>
    </row>
    <row r="78">
      <c r="A78" s="23" t="n">
        <v>46016.79166666666</v>
      </c>
      <c r="B78" t="n">
        <v>63.39</v>
      </c>
      <c r="C78" t="n">
        <v>64.09999999999999</v>
      </c>
      <c r="D78" t="n">
        <v>0.7099999999999937</v>
      </c>
      <c r="E78" t="n">
        <v>8.279999999999923</v>
      </c>
      <c r="F78" t="b">
        <v>1</v>
      </c>
      <c r="G78" t="b">
        <v>1</v>
      </c>
      <c r="H78" t="inlineStr">
        <is>
          <t>B</t>
        </is>
      </c>
      <c r="I78" t="inlineStr">
        <is>
          <t>B</t>
        </is>
      </c>
      <c r="J78" t="n">
        <v>0.7099999999999937</v>
      </c>
      <c r="K78" t="n">
        <v>5</v>
      </c>
      <c r="L78" t="n">
        <v>2</v>
      </c>
      <c r="M78" t="n">
        <v>0.5699999999999292</v>
      </c>
      <c r="N78" t="n">
        <v>7.569999999999929</v>
      </c>
      <c r="O78" t="n">
        <v>0</v>
      </c>
      <c r="P78" t="n">
        <v>1.4</v>
      </c>
      <c r="Q78" t="n">
        <v>0.6000000000000001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0.5699999999999292</v>
      </c>
      <c r="X78" t="n">
        <v>0</v>
      </c>
      <c r="Y78" t="n">
        <v>1</v>
      </c>
      <c r="Z78" t="n">
        <v>564.8798999999954</v>
      </c>
      <c r="AA78" t="n">
        <v>72.3</v>
      </c>
      <c r="AB78" t="n">
        <v>492.5798999999954</v>
      </c>
      <c r="AC78" t="n">
        <v>21160.40105399983</v>
      </c>
      <c r="AD78" t="n">
        <v>1892.499999999982</v>
      </c>
      <c r="AE78" t="n">
        <v>10.12</v>
      </c>
      <c r="AF78" t="n">
        <v>19152.09999999982</v>
      </c>
    </row>
    <row r="79">
      <c r="A79" s="23" t="n">
        <v>46016.80208333334</v>
      </c>
      <c r="B79" t="n">
        <v>62.7</v>
      </c>
      <c r="C79" t="n">
        <v>64.09999999999999</v>
      </c>
      <c r="D79" t="n">
        <v>1.399999999999991</v>
      </c>
      <c r="E79" t="n">
        <v>8.32999999999994</v>
      </c>
      <c r="F79" t="b">
        <v>1</v>
      </c>
      <c r="G79" t="b">
        <v>1</v>
      </c>
      <c r="H79" t="inlineStr">
        <is>
          <t>B</t>
        </is>
      </c>
      <c r="I79" t="inlineStr">
        <is>
          <t>B</t>
        </is>
      </c>
      <c r="J79" t="n">
        <v>1.32999999999994</v>
      </c>
      <c r="K79" t="n">
        <v>5</v>
      </c>
      <c r="L79" t="n">
        <v>2</v>
      </c>
      <c r="M79" t="n">
        <v>0</v>
      </c>
      <c r="N79" t="n">
        <v>7</v>
      </c>
      <c r="O79" t="n">
        <v>0</v>
      </c>
      <c r="P79" t="n">
        <v>1.4</v>
      </c>
      <c r="Q79" t="n">
        <v>0.6000000000000001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0</v>
      </c>
      <c r="X79" t="n">
        <v>0</v>
      </c>
      <c r="Y79" t="n">
        <v>0</v>
      </c>
      <c r="Z79" t="n">
        <v>527.79</v>
      </c>
      <c r="AA79" t="n">
        <v>72.3</v>
      </c>
      <c r="AB79" t="n">
        <v>455.49</v>
      </c>
      <c r="AC79" t="n">
        <v>19771.0134</v>
      </c>
      <c r="AD79" t="n">
        <v>1750</v>
      </c>
      <c r="AE79" t="n">
        <v>10.12</v>
      </c>
      <c r="AF79" t="n">
        <v>17710</v>
      </c>
    </row>
    <row r="80">
      <c r="A80" s="23" t="n">
        <v>46016.8125</v>
      </c>
      <c r="B80" t="n">
        <v>61.36</v>
      </c>
      <c r="C80" t="n">
        <v>64.09999999999999</v>
      </c>
      <c r="D80" t="n">
        <v>2.739999999999995</v>
      </c>
      <c r="E80" t="n">
        <v>7.920000000000061</v>
      </c>
      <c r="F80" t="b">
        <v>1</v>
      </c>
      <c r="G80" t="b">
        <v>1</v>
      </c>
      <c r="H80" t="inlineStr">
        <is>
          <t>B</t>
        </is>
      </c>
      <c r="I80" t="inlineStr">
        <is>
          <t>B</t>
        </is>
      </c>
      <c r="J80" t="n">
        <v>1.920000000000061</v>
      </c>
      <c r="K80" t="n">
        <v>5</v>
      </c>
      <c r="L80" t="n">
        <v>1</v>
      </c>
      <c r="M80" t="n">
        <v>0</v>
      </c>
      <c r="N80" t="n">
        <v>6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441.03</v>
      </c>
      <c r="AA80" t="n">
        <v>50.61</v>
      </c>
      <c r="AB80" t="n">
        <v>390.42</v>
      </c>
      <c r="AC80" t="n">
        <v>16520.9838</v>
      </c>
      <c r="AD80" t="n">
        <v>1500</v>
      </c>
      <c r="AE80" t="n">
        <v>10.12</v>
      </c>
      <c r="AF80" t="n">
        <v>15180</v>
      </c>
    </row>
    <row r="81">
      <c r="A81" s="23" t="n">
        <v>46016.82291666666</v>
      </c>
      <c r="B81" t="n">
        <v>60.72</v>
      </c>
      <c r="C81" t="n">
        <v>64.09999999999999</v>
      </c>
      <c r="D81" t="n">
        <v>3.379999999999995</v>
      </c>
      <c r="E81" t="n">
        <v>7.840000000000098</v>
      </c>
      <c r="F81" t="b">
        <v>1</v>
      </c>
      <c r="G81" t="b">
        <v>1</v>
      </c>
      <c r="H81" t="inlineStr">
        <is>
          <t>B</t>
        </is>
      </c>
      <c r="I81" t="inlineStr">
        <is>
          <t>B</t>
        </is>
      </c>
      <c r="J81" t="n">
        <v>1.840000000000098</v>
      </c>
      <c r="K81" t="n">
        <v>5</v>
      </c>
      <c r="L81" t="n">
        <v>1</v>
      </c>
      <c r="M81" t="n">
        <v>0</v>
      </c>
      <c r="N81" t="n">
        <v>6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441.03</v>
      </c>
      <c r="AA81" t="n">
        <v>50.61</v>
      </c>
      <c r="AB81" t="n">
        <v>390.42</v>
      </c>
      <c r="AC81" t="n">
        <v>16520.9838</v>
      </c>
      <c r="AD81" t="n">
        <v>1500</v>
      </c>
      <c r="AE81" t="n">
        <v>10.12</v>
      </c>
      <c r="AF81" t="n">
        <v>15180</v>
      </c>
    </row>
    <row r="82">
      <c r="A82" s="23" t="n">
        <v>46016.83333333334</v>
      </c>
      <c r="B82" t="n">
        <v>61.38</v>
      </c>
      <c r="C82" t="n">
        <v>64.09999999999999</v>
      </c>
      <c r="D82" t="n">
        <v>2.719999999999992</v>
      </c>
      <c r="E82" t="n">
        <v>7.720000000000073</v>
      </c>
      <c r="F82" t="b">
        <v>1</v>
      </c>
      <c r="G82" t="b">
        <v>1</v>
      </c>
      <c r="H82" t="inlineStr">
        <is>
          <t>B</t>
        </is>
      </c>
      <c r="I82" t="inlineStr">
        <is>
          <t>B</t>
        </is>
      </c>
      <c r="J82" t="n">
        <v>1.720000000000073</v>
      </c>
      <c r="K82" t="n">
        <v>5</v>
      </c>
      <c r="L82" t="n">
        <v>1</v>
      </c>
      <c r="M82" t="n">
        <v>0</v>
      </c>
      <c r="N82" t="n">
        <v>6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441.03</v>
      </c>
      <c r="AA82" t="n">
        <v>50.61</v>
      </c>
      <c r="AB82" t="n">
        <v>390.42</v>
      </c>
      <c r="AC82" t="n">
        <v>16520.9838</v>
      </c>
      <c r="AD82" t="n">
        <v>1500</v>
      </c>
      <c r="AE82" t="n">
        <v>10.12</v>
      </c>
      <c r="AF82" t="n">
        <v>15180</v>
      </c>
    </row>
    <row r="83">
      <c r="A83" s="23" t="n">
        <v>46016.84375</v>
      </c>
      <c r="B83" t="n">
        <v>60.72</v>
      </c>
      <c r="C83" t="n">
        <v>64.09999999999999</v>
      </c>
      <c r="D83" t="n">
        <v>3.379999999999995</v>
      </c>
      <c r="E83" t="n">
        <v>7.640000000000129</v>
      </c>
      <c r="F83" t="b">
        <v>1</v>
      </c>
      <c r="G83" t="b">
        <v>1</v>
      </c>
      <c r="H83" t="inlineStr">
        <is>
          <t>B</t>
        </is>
      </c>
      <c r="I83" t="inlineStr">
        <is>
          <t>B</t>
        </is>
      </c>
      <c r="J83" t="n">
        <v>1.640000000000129</v>
      </c>
      <c r="K83" t="n">
        <v>5</v>
      </c>
      <c r="L83" t="n">
        <v>1</v>
      </c>
      <c r="M83" t="n">
        <v>0</v>
      </c>
      <c r="N83" t="n">
        <v>6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441.03</v>
      </c>
      <c r="AA83" t="n">
        <v>50.61</v>
      </c>
      <c r="AB83" t="n">
        <v>390.42</v>
      </c>
      <c r="AC83" t="n">
        <v>16520.9838</v>
      </c>
      <c r="AD83" t="n">
        <v>1500</v>
      </c>
      <c r="AE83" t="n">
        <v>10.12</v>
      </c>
      <c r="AF83" t="n">
        <v>15180</v>
      </c>
    </row>
    <row r="84">
      <c r="A84" s="23" t="n">
        <v>46016.85416666666</v>
      </c>
      <c r="B84" t="n">
        <v>60.03</v>
      </c>
      <c r="C84" t="n">
        <v>64.09999999999999</v>
      </c>
      <c r="D84" t="n">
        <v>4.069999999999993</v>
      </c>
      <c r="E84" t="n">
        <v>7.529999999999932</v>
      </c>
      <c r="F84" t="b">
        <v>1</v>
      </c>
      <c r="G84" t="b">
        <v>1</v>
      </c>
      <c r="H84" t="inlineStr">
        <is>
          <t>B</t>
        </is>
      </c>
      <c r="I84" t="inlineStr">
        <is>
          <t>B</t>
        </is>
      </c>
      <c r="J84" t="n">
        <v>1.529999999999932</v>
      </c>
      <c r="K84" t="n">
        <v>5</v>
      </c>
      <c r="L84" t="n">
        <v>1</v>
      </c>
      <c r="M84" t="n">
        <v>0</v>
      </c>
      <c r="N84" t="n">
        <v>6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441.03</v>
      </c>
      <c r="AA84" t="n">
        <v>50.61</v>
      </c>
      <c r="AB84" t="n">
        <v>390.42</v>
      </c>
      <c r="AC84" t="n">
        <v>16520.9838</v>
      </c>
      <c r="AD84" t="n">
        <v>1500</v>
      </c>
      <c r="AE84" t="n">
        <v>10.12</v>
      </c>
      <c r="AF84" t="n">
        <v>15180</v>
      </c>
    </row>
    <row r="85">
      <c r="A85" s="23" t="n">
        <v>46016.86458333334</v>
      </c>
      <c r="B85" t="n">
        <v>59.32</v>
      </c>
      <c r="C85" t="n">
        <v>64.09999999999999</v>
      </c>
      <c r="D85" t="n">
        <v>4.779999999999994</v>
      </c>
      <c r="E85" t="n">
        <v>7.539999999999967</v>
      </c>
      <c r="F85" t="b">
        <v>1</v>
      </c>
      <c r="G85" t="b">
        <v>1</v>
      </c>
      <c r="H85" t="inlineStr">
        <is>
          <t>B</t>
        </is>
      </c>
      <c r="I85" t="inlineStr">
        <is>
          <t>B</t>
        </is>
      </c>
      <c r="J85" t="n">
        <v>1.539999999999967</v>
      </c>
      <c r="K85" t="n">
        <v>5</v>
      </c>
      <c r="L85" t="n">
        <v>1</v>
      </c>
      <c r="M85" t="n">
        <v>0</v>
      </c>
      <c r="N85" t="n">
        <v>6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441.03</v>
      </c>
      <c r="AA85" t="n">
        <v>50.61</v>
      </c>
      <c r="AB85" t="n">
        <v>390.42</v>
      </c>
      <c r="AC85" t="n">
        <v>16520.9838</v>
      </c>
      <c r="AD85" t="n">
        <v>1500</v>
      </c>
      <c r="AE85" t="n">
        <v>10.12</v>
      </c>
      <c r="AF85" t="n">
        <v>15180</v>
      </c>
    </row>
    <row r="86">
      <c r="A86" s="23" t="n">
        <v>46016.875</v>
      </c>
      <c r="B86" t="n">
        <v>59.44</v>
      </c>
      <c r="C86" t="n">
        <v>64.09999999999999</v>
      </c>
      <c r="D86" t="n">
        <v>4.659999999999997</v>
      </c>
      <c r="E86" t="n">
        <v>7.350000000000126</v>
      </c>
      <c r="F86" t="b">
        <v>1</v>
      </c>
      <c r="G86" t="b">
        <v>1</v>
      </c>
      <c r="H86" t="inlineStr">
        <is>
          <t>B</t>
        </is>
      </c>
      <c r="I86" t="inlineStr">
        <is>
          <t>B</t>
        </is>
      </c>
      <c r="J86" t="n">
        <v>1.350000000000126</v>
      </c>
      <c r="K86" t="n">
        <v>5</v>
      </c>
      <c r="L86" t="n">
        <v>1</v>
      </c>
      <c r="M86" t="n">
        <v>0</v>
      </c>
      <c r="N86" t="n">
        <v>6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441.03</v>
      </c>
      <c r="AA86" t="n">
        <v>50.61</v>
      </c>
      <c r="AB86" t="n">
        <v>390.42</v>
      </c>
      <c r="AC86" t="n">
        <v>16520.9838</v>
      </c>
      <c r="AD86" t="n">
        <v>1500</v>
      </c>
      <c r="AE86" t="n">
        <v>10.12</v>
      </c>
      <c r="AF86" t="n">
        <v>15180</v>
      </c>
    </row>
    <row r="87">
      <c r="A87" s="23" t="n">
        <v>46016.88541666666</v>
      </c>
      <c r="B87" t="n">
        <v>63.45</v>
      </c>
      <c r="C87" t="n">
        <v>64.09999999999999</v>
      </c>
      <c r="D87" t="n">
        <v>0.6499999999999915</v>
      </c>
      <c r="E87" t="n">
        <v>7.189999999999855</v>
      </c>
      <c r="F87" t="b">
        <v>1</v>
      </c>
      <c r="G87" t="b">
        <v>1</v>
      </c>
      <c r="H87" t="inlineStr">
        <is>
          <t>B</t>
        </is>
      </c>
      <c r="I87" t="inlineStr">
        <is>
          <t>B</t>
        </is>
      </c>
      <c r="J87" t="n">
        <v>0.6499999999999915</v>
      </c>
      <c r="K87" t="n">
        <v>5</v>
      </c>
      <c r="L87" t="n">
        <v>1</v>
      </c>
      <c r="M87" t="n">
        <v>0</v>
      </c>
      <c r="N87" t="n">
        <v>6</v>
      </c>
      <c r="O87" t="n">
        <v>0.5399999999998633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441.03</v>
      </c>
      <c r="AA87" t="n">
        <v>50.61</v>
      </c>
      <c r="AB87" t="n">
        <v>390.42</v>
      </c>
      <c r="AC87" t="n">
        <v>16520.9838</v>
      </c>
      <c r="AD87" t="n">
        <v>1500</v>
      </c>
      <c r="AE87" t="n">
        <v>10.12</v>
      </c>
      <c r="AF87" t="n">
        <v>15180</v>
      </c>
    </row>
    <row r="88">
      <c r="A88" s="23" t="n">
        <v>46016.89583333334</v>
      </c>
      <c r="B88" t="n">
        <v>62.81</v>
      </c>
      <c r="C88" t="n">
        <v>64.09999999999999</v>
      </c>
      <c r="D88" t="n">
        <v>1.289999999999992</v>
      </c>
      <c r="E88" t="n">
        <v>7.100000000000117</v>
      </c>
      <c r="F88" t="b">
        <v>1</v>
      </c>
      <c r="G88" t="b">
        <v>1</v>
      </c>
      <c r="H88" t="inlineStr">
        <is>
          <t>B</t>
        </is>
      </c>
      <c r="I88" t="inlineStr">
        <is>
          <t>B</t>
        </is>
      </c>
      <c r="J88" t="n">
        <v>1.100000000000117</v>
      </c>
      <c r="K88" t="n">
        <v>5</v>
      </c>
      <c r="L88" t="n">
        <v>1</v>
      </c>
      <c r="M88" t="n">
        <v>0</v>
      </c>
      <c r="N88" t="n">
        <v>6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441.03</v>
      </c>
      <c r="AA88" t="n">
        <v>50.61</v>
      </c>
      <c r="AB88" t="n">
        <v>390.42</v>
      </c>
      <c r="AC88" t="n">
        <v>16520.9838</v>
      </c>
      <c r="AD88" t="n">
        <v>1500</v>
      </c>
      <c r="AE88" t="n">
        <v>10.12</v>
      </c>
      <c r="AF88" t="n">
        <v>15180</v>
      </c>
    </row>
    <row r="89">
      <c r="A89" s="23" t="n">
        <v>46016.90625</v>
      </c>
      <c r="B89" t="n">
        <v>62.13</v>
      </c>
      <c r="C89" t="n">
        <v>64.09999999999999</v>
      </c>
      <c r="D89" t="n">
        <v>1.969999999999992</v>
      </c>
      <c r="E89" t="n">
        <v>7.159999999999906</v>
      </c>
      <c r="F89" t="b">
        <v>1</v>
      </c>
      <c r="G89" t="b">
        <v>1</v>
      </c>
      <c r="H89" t="inlineStr">
        <is>
          <t>B</t>
        </is>
      </c>
      <c r="I89" t="inlineStr">
        <is>
          <t>B</t>
        </is>
      </c>
      <c r="J89" t="n">
        <v>1.159999999999906</v>
      </c>
      <c r="K89" t="n">
        <v>5</v>
      </c>
      <c r="L89" t="n">
        <v>1</v>
      </c>
      <c r="M89" t="n">
        <v>0</v>
      </c>
      <c r="N89" t="n">
        <v>6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441.03</v>
      </c>
      <c r="AA89" t="n">
        <v>50.61</v>
      </c>
      <c r="AB89" t="n">
        <v>390.42</v>
      </c>
      <c r="AC89" t="n">
        <v>16520.9838</v>
      </c>
      <c r="AD89" t="n">
        <v>1500</v>
      </c>
      <c r="AE89" t="n">
        <v>10.12</v>
      </c>
      <c r="AF89" t="n">
        <v>15180</v>
      </c>
    </row>
    <row r="90">
      <c r="A90" s="23" t="n">
        <v>46016.91666666666</v>
      </c>
      <c r="B90" t="n">
        <v>61.49</v>
      </c>
      <c r="C90" t="n">
        <v>64.09999999999999</v>
      </c>
      <c r="D90" t="n">
        <v>2.609999999999992</v>
      </c>
      <c r="E90" t="n">
        <v>6.970000000000053</v>
      </c>
      <c r="F90" t="b">
        <v>1</v>
      </c>
      <c r="G90" t="b">
        <v>1</v>
      </c>
      <c r="H90" t="inlineStr">
        <is>
          <t>B</t>
        </is>
      </c>
      <c r="I90" t="inlineStr">
        <is>
          <t>B</t>
        </is>
      </c>
      <c r="J90" t="n">
        <v>0.970000000000053</v>
      </c>
      <c r="K90" t="n">
        <v>5</v>
      </c>
      <c r="L90" t="n">
        <v>1</v>
      </c>
      <c r="M90" t="n">
        <v>0</v>
      </c>
      <c r="N90" t="n">
        <v>6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0</v>
      </c>
      <c r="Z90" t="n">
        <v>441.03</v>
      </c>
      <c r="AA90" t="n">
        <v>50.61</v>
      </c>
      <c r="AB90" t="n">
        <v>390.42</v>
      </c>
      <c r="AC90" t="n">
        <v>16520.9838</v>
      </c>
      <c r="AD90" t="n">
        <v>1500</v>
      </c>
      <c r="AE90" t="n">
        <v>10.12</v>
      </c>
      <c r="AF90" t="n">
        <v>15180</v>
      </c>
    </row>
    <row r="91">
      <c r="A91" s="23" t="n">
        <v>46016.92708333334</v>
      </c>
      <c r="B91" t="n">
        <v>60.84</v>
      </c>
      <c r="C91" t="n">
        <v>64.09999999999999</v>
      </c>
      <c r="D91" t="n">
        <v>3.259999999999991</v>
      </c>
      <c r="E91" t="n">
        <v>6.859999999999893</v>
      </c>
      <c r="F91" t="b">
        <v>1</v>
      </c>
      <c r="G91" t="b">
        <v>1</v>
      </c>
      <c r="H91" t="inlineStr">
        <is>
          <t>B</t>
        </is>
      </c>
      <c r="I91" t="inlineStr">
        <is>
          <t>B</t>
        </is>
      </c>
      <c r="J91" t="n">
        <v>0.8599999999998929</v>
      </c>
      <c r="K91" t="n">
        <v>5</v>
      </c>
      <c r="L91" t="n">
        <v>1</v>
      </c>
      <c r="M91" t="n">
        <v>0</v>
      </c>
      <c r="N91" t="n">
        <v>6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441.03</v>
      </c>
      <c r="AA91" t="n">
        <v>50.61</v>
      </c>
      <c r="AB91" t="n">
        <v>390.42</v>
      </c>
      <c r="AC91" t="n">
        <v>16520.9838</v>
      </c>
      <c r="AD91" t="n">
        <v>1500</v>
      </c>
      <c r="AE91" t="n">
        <v>10.12</v>
      </c>
      <c r="AF91" t="n">
        <v>15180</v>
      </c>
    </row>
    <row r="92">
      <c r="A92" s="23" t="n">
        <v>46016.9375</v>
      </c>
      <c r="B92" t="n">
        <v>60.19</v>
      </c>
      <c r="C92" t="n">
        <v>64.09999999999999</v>
      </c>
      <c r="D92" t="n">
        <v>3.909999999999997</v>
      </c>
      <c r="E92" t="n">
        <v>6.859999999999893</v>
      </c>
      <c r="F92" t="b">
        <v>1</v>
      </c>
      <c r="G92" t="b">
        <v>1</v>
      </c>
      <c r="H92" t="inlineStr">
        <is>
          <t>B</t>
        </is>
      </c>
      <c r="I92" t="inlineStr">
        <is>
          <t>B</t>
        </is>
      </c>
      <c r="J92" t="n">
        <v>0.8599999999998929</v>
      </c>
      <c r="K92" t="n">
        <v>5</v>
      </c>
      <c r="L92" t="n">
        <v>1</v>
      </c>
      <c r="M92" t="n">
        <v>0</v>
      </c>
      <c r="N92" t="n">
        <v>6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441.03</v>
      </c>
      <c r="AA92" t="n">
        <v>50.61</v>
      </c>
      <c r="AB92" t="n">
        <v>390.42</v>
      </c>
      <c r="AC92" t="n">
        <v>16520.9838</v>
      </c>
      <c r="AD92" t="n">
        <v>1500</v>
      </c>
      <c r="AE92" t="n">
        <v>10.12</v>
      </c>
      <c r="AF92" t="n">
        <v>15180</v>
      </c>
    </row>
    <row r="93">
      <c r="A93" s="23" t="n">
        <v>46016.94791666666</v>
      </c>
      <c r="B93" t="n">
        <v>62.93</v>
      </c>
      <c r="C93" t="n">
        <v>64.09999999999999</v>
      </c>
      <c r="D93" t="n">
        <v>1.169999999999995</v>
      </c>
      <c r="E93" t="n">
        <v>6.890000000000108</v>
      </c>
      <c r="F93" t="b">
        <v>1</v>
      </c>
      <c r="G93" t="b">
        <v>1</v>
      </c>
      <c r="H93" t="inlineStr">
        <is>
          <t>B</t>
        </is>
      </c>
      <c r="I93" t="inlineStr">
        <is>
          <t>B</t>
        </is>
      </c>
      <c r="J93" t="n">
        <v>0.890000000000108</v>
      </c>
      <c r="K93" t="n">
        <v>5</v>
      </c>
      <c r="L93" t="n">
        <v>1</v>
      </c>
      <c r="M93" t="n">
        <v>0</v>
      </c>
      <c r="N93" t="n">
        <v>6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441.03</v>
      </c>
      <c r="AA93" t="n">
        <v>50.61</v>
      </c>
      <c r="AB93" t="n">
        <v>390.42</v>
      </c>
      <c r="AC93" t="n">
        <v>16520.9838</v>
      </c>
      <c r="AD93" t="n">
        <v>1500</v>
      </c>
      <c r="AE93" t="n">
        <v>10.12</v>
      </c>
      <c r="AF93" t="n">
        <v>15180</v>
      </c>
    </row>
    <row r="94">
      <c r="A94" s="23" t="n">
        <v>46016.95833333334</v>
      </c>
      <c r="B94" t="n">
        <v>61.65</v>
      </c>
      <c r="C94" t="n">
        <v>64.09999999999999</v>
      </c>
      <c r="D94" t="n">
        <v>2.449999999999996</v>
      </c>
      <c r="E94" t="n">
        <v>6.75</v>
      </c>
      <c r="F94" t="b">
        <v>1</v>
      </c>
      <c r="G94" t="b">
        <v>1</v>
      </c>
      <c r="H94" t="inlineStr">
        <is>
          <t>B</t>
        </is>
      </c>
      <c r="I94" t="inlineStr">
        <is>
          <t>B</t>
        </is>
      </c>
      <c r="J94" t="n">
        <v>0.75</v>
      </c>
      <c r="K94" t="n">
        <v>5</v>
      </c>
      <c r="L94" t="n">
        <v>1</v>
      </c>
      <c r="M94" t="n">
        <v>0</v>
      </c>
      <c r="N94" t="n">
        <v>6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441.03</v>
      </c>
      <c r="AA94" t="n">
        <v>50.61</v>
      </c>
      <c r="AB94" t="n">
        <v>390.42</v>
      </c>
      <c r="AC94" t="n">
        <v>16520.9838</v>
      </c>
      <c r="AD94" t="n">
        <v>1500</v>
      </c>
      <c r="AE94" t="n">
        <v>10.12</v>
      </c>
      <c r="AF94" t="n">
        <v>15180</v>
      </c>
    </row>
    <row r="95">
      <c r="A95" s="23" t="n">
        <v>46016.96875</v>
      </c>
      <c r="B95" t="n">
        <v>59.66</v>
      </c>
      <c r="C95" t="n">
        <v>64.09999999999999</v>
      </c>
      <c r="D95" t="n">
        <v>4.439999999999998</v>
      </c>
      <c r="E95" t="n">
        <v>6.680000000000068</v>
      </c>
      <c r="F95" t="b">
        <v>1</v>
      </c>
      <c r="G95" t="b">
        <v>1</v>
      </c>
      <c r="H95" t="inlineStr">
        <is>
          <t>B</t>
        </is>
      </c>
      <c r="I95" t="inlineStr">
        <is>
          <t>B</t>
        </is>
      </c>
      <c r="J95" t="n">
        <v>0.6800000000000681</v>
      </c>
      <c r="K95" t="n">
        <v>5</v>
      </c>
      <c r="L95" t="n">
        <v>1</v>
      </c>
      <c r="M95" t="n">
        <v>0</v>
      </c>
      <c r="N95" t="n">
        <v>6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441.03</v>
      </c>
      <c r="AA95" t="n">
        <v>50.61</v>
      </c>
      <c r="AB95" t="n">
        <v>390.42</v>
      </c>
      <c r="AC95" t="n">
        <v>16520.9838</v>
      </c>
      <c r="AD95" t="n">
        <v>1500</v>
      </c>
      <c r="AE95" t="n">
        <v>10.12</v>
      </c>
      <c r="AF95" t="n">
        <v>15180</v>
      </c>
    </row>
    <row r="96">
      <c r="A96" s="23" t="n">
        <v>46016.97916666666</v>
      </c>
      <c r="B96" t="n">
        <v>58.43</v>
      </c>
      <c r="C96" t="n">
        <v>64.09999999999999</v>
      </c>
      <c r="D96" t="n">
        <v>5.669999999999995</v>
      </c>
      <c r="E96" t="n">
        <v>6.550000000000114</v>
      </c>
      <c r="F96" t="b">
        <v>1</v>
      </c>
      <c r="G96" t="b">
        <v>1</v>
      </c>
      <c r="H96" t="inlineStr">
        <is>
          <t>B</t>
        </is>
      </c>
      <c r="I96" t="inlineStr">
        <is>
          <t>B</t>
        </is>
      </c>
      <c r="J96" t="n">
        <v>0.5500000000001144</v>
      </c>
      <c r="K96" t="n">
        <v>5</v>
      </c>
      <c r="L96" t="n">
        <v>1</v>
      </c>
      <c r="M96" t="n">
        <v>0</v>
      </c>
      <c r="N96" t="n">
        <v>6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441.03</v>
      </c>
      <c r="AA96" t="n">
        <v>50.61</v>
      </c>
      <c r="AB96" t="n">
        <v>390.42</v>
      </c>
      <c r="AC96" t="n">
        <v>16520.9838</v>
      </c>
      <c r="AD96" t="n">
        <v>1500</v>
      </c>
      <c r="AE96" t="n">
        <v>10.12</v>
      </c>
      <c r="AF96" t="n">
        <v>15180</v>
      </c>
    </row>
    <row r="97">
      <c r="A97" s="23" t="n">
        <v>46016.98958333334</v>
      </c>
      <c r="B97" t="n">
        <v>57.21</v>
      </c>
      <c r="C97" t="n">
        <v>64.09999999999999</v>
      </c>
      <c r="D97" t="n">
        <v>6.889999999999993</v>
      </c>
      <c r="E97" t="n">
        <v>6.340000000000086</v>
      </c>
      <c r="F97" t="b">
        <v>0</v>
      </c>
      <c r="G97" t="b">
        <v>1</v>
      </c>
      <c r="H97" t="inlineStr">
        <is>
          <t>A</t>
        </is>
      </c>
      <c r="I97" t="inlineStr">
        <is>
          <t>B</t>
        </is>
      </c>
      <c r="J97" t="n">
        <v>0.340000000000086</v>
      </c>
      <c r="K97" t="n">
        <v>5</v>
      </c>
      <c r="L97" t="n">
        <v>1</v>
      </c>
      <c r="M97" t="n">
        <v>0</v>
      </c>
      <c r="N97" t="n">
        <v>6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441.03</v>
      </c>
      <c r="AA97" t="n">
        <v>50.61</v>
      </c>
      <c r="AB97" t="n">
        <v>390.42</v>
      </c>
      <c r="AC97" t="n">
        <v>16520.9838</v>
      </c>
      <c r="AD97" t="n">
        <v>1500</v>
      </c>
      <c r="AE97" t="n">
        <v>10.12</v>
      </c>
      <c r="AF97" t="n">
        <v>15180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Chalita Sajjapipat</dc:creator>
  <dcterms:created xmlns:dcterms="http://purl.org/dc/terms/" xmlns:xsi="http://www.w3.org/2001/XMLSchema-instance" xsi:type="dcterms:W3CDTF">2026-01-12T07:12:30Z</dcterms:created>
  <dcterms:modified xmlns:dcterms="http://purl.org/dc/terms/" xmlns:xsi="http://www.w3.org/2001/XMLSchema-instance" xsi:type="dcterms:W3CDTF">2026-02-11T09:05:02Z</dcterms:modified>
  <cp:lastModifiedBy>Chalita Sajjapipat</cp:lastModifiedBy>
</cp:coreProperties>
</file>